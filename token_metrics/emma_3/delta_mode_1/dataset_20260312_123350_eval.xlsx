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ies" sheetId="1" state="visible" r:id="rId1"/>
    <sheet name="Summary" sheetId="2" state="visible" r:id="rId2"/>
  </sheets>
  <definedNames>
    <definedName name="_xlnm._FilterDatabase" localSheetId="0" hidden="1">'Queries'!$A$1:$N$41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EvalTable" displayName="EvalTable" ref="A1:N41" headerRowCount="1">
  <autoFilter ref="A1:N41"/>
  <tableColumns count="14">
    <tableColumn id="1" name="dataset"/>
    <tableColumn id="2" name="scene_id"/>
    <tableColumn id="3" name="qid"/>
    <tableColumn id="4" name="global_id"/>
    <tableColumn id="5" name="category"/>
    <tableColumn id="6" name="type"/>
    <tableColumn id="7" name="question"/>
    <tableColumn id="8" name="options_json"/>
    <tableColumn id="9" name="gt_answer"/>
    <tableColumn id="10" name="model_answer"/>
    <tableColumn id="11" name="is_correct"/>
    <tableColumn id="12" name="is_false_positive"/>
    <tableColumn id="13" name="notes"/>
    <tableColumn id="14" name="rational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15" customWidth="1" min="5" max="5"/>
    <col width="17" customWidth="1" min="6" max="6"/>
    <col width="60" customWidth="1" min="7" max="7"/>
    <col width="60" customWidth="1" min="8" max="8"/>
    <col width="11" customWidth="1" min="9" max="9"/>
    <col width="14" customWidth="1" min="10" max="10"/>
    <col width="44" customWidth="1" min="11" max="11"/>
    <col width="60" customWidth="1" min="12" max="12"/>
    <col width="10" customWidth="1" min="13" max="13"/>
    <col width="60" customWidth="1" min="14" max="14"/>
  </cols>
  <sheetData>
    <row r="1">
      <c r="A1" s="1" t="inlineStr">
        <is>
          <t>dataset</t>
        </is>
      </c>
      <c r="B1" s="1" t="inlineStr">
        <is>
          <t>scene_id</t>
        </is>
      </c>
      <c r="C1" s="1" t="inlineStr">
        <is>
          <t>qid</t>
        </is>
      </c>
      <c r="D1" s="1" t="inlineStr">
        <is>
          <t>global_id</t>
        </is>
      </c>
      <c r="E1" s="1" t="inlineStr">
        <is>
          <t>category</t>
        </is>
      </c>
      <c r="F1" s="1" t="inlineStr">
        <is>
          <t>type</t>
        </is>
      </c>
      <c r="G1" s="1" t="inlineStr">
        <is>
          <t>question</t>
        </is>
      </c>
      <c r="H1" s="1" t="inlineStr">
        <is>
          <t>options_json</t>
        </is>
      </c>
      <c r="I1" s="1" t="inlineStr">
        <is>
          <t>gt_answer</t>
        </is>
      </c>
      <c r="J1" s="1" t="inlineStr">
        <is>
          <t>model_answer</t>
        </is>
      </c>
      <c r="K1" s="1" t="inlineStr">
        <is>
          <t>is_correct</t>
        </is>
      </c>
      <c r="L1" s="1" t="inlineStr">
        <is>
          <t>is_false_positive</t>
        </is>
      </c>
      <c r="M1" s="1" t="inlineStr">
        <is>
          <t>notes</t>
        </is>
      </c>
      <c r="N1" s="1" t="inlineStr">
        <is>
          <t>rationale</t>
        </is>
      </c>
    </row>
    <row r="2">
      <c r="A2" t="inlineStr">
        <is>
          <t>dataset_20260312_123350.json</t>
        </is>
      </c>
      <c r="B2" t="n">
        <v>1</v>
      </c>
      <c r="C2" t="inlineStr">
        <is>
          <t>Q1</t>
        </is>
      </c>
      <c r="D2" t="inlineStr">
        <is>
          <t>S1_Q1</t>
        </is>
      </c>
      <c r="E2" t="inlineStr">
        <is>
          <t>temporal</t>
        </is>
      </c>
      <c r="F2" t="inlineStr">
        <is>
          <t>exact</t>
        </is>
      </c>
      <c r="G2" t="inlineStr">
        <is>
          <t>What time did the user finish the logo design for Smith &amp; Co.?</t>
        </is>
      </c>
      <c r="H2" t="inlineStr"/>
      <c r="I2" t="inlineStr">
        <is>
          <t>17:00:00</t>
        </is>
      </c>
      <c r="J2" t="inlineStr"/>
      <c r="K2" s="2">
        <f>IF(LOWER(TRIM(J2))=LOWER(TRIM(I2)),1,0)</f>
        <v/>
      </c>
      <c r="L2" s="2">
        <f>IF(AND(LOWER(TRIM(E2))="hallucination",LOWER(TRIM(I2))="no",LOWER(TRIM(J2))="yes"),1,0)</f>
        <v/>
      </c>
      <c r="M2" t="inlineStr"/>
      <c r="N2" t="inlineStr">
        <is>
          <t>The user mentioned finishing the logo design at the start of the scene, and the smartwatch data starts at 17:00:00.</t>
        </is>
      </c>
    </row>
    <row r="3">
      <c r="A3" t="inlineStr">
        <is>
          <t>dataset_20260312_123350.json</t>
        </is>
      </c>
      <c r="B3" t="n">
        <v>1</v>
      </c>
      <c r="C3" t="inlineStr">
        <is>
          <t>Q2</t>
        </is>
      </c>
      <c r="D3" t="inlineStr">
        <is>
          <t>S1_Q2</t>
        </is>
      </c>
      <c r="E3" t="inlineStr">
        <is>
          <t>temporal</t>
        </is>
      </c>
      <c r="F3" t="inlineStr">
        <is>
          <t>binary</t>
        </is>
      </c>
      <c r="G3" t="inlineStr">
        <is>
          <t>Did the user send a message to Sarah before 17:45?</t>
        </is>
      </c>
      <c r="H3" t="inlineStr"/>
      <c r="I3" t="inlineStr">
        <is>
          <t>Yes</t>
        </is>
      </c>
      <c r="J3" t="inlineStr"/>
      <c r="K3" s="2">
        <f>IF(LOWER(TRIM(J3))=LOWER(TRIM(I3)),1,0)</f>
        <v/>
      </c>
      <c r="L3" s="2">
        <f>IF(AND(LOWER(TRIM(E3))="hallucination",LOWER(TRIM(I3))="no",LOWER(TRIM(J3))="yes"),1,0)</f>
        <v/>
      </c>
      <c r="M3" t="inlineStr"/>
      <c r="N3" t="inlineStr">
        <is>
          <t>The user sent a message to Sarah at 17:40, which is before 17:45.</t>
        </is>
      </c>
    </row>
    <row r="4">
      <c r="A4" t="inlineStr">
        <is>
          <t>dataset_20260312_123350.json</t>
        </is>
      </c>
      <c r="B4" t="n">
        <v>1</v>
      </c>
      <c r="C4" t="inlineStr">
        <is>
          <t>Q3</t>
        </is>
      </c>
      <c r="D4" t="inlineStr">
        <is>
          <t>S1_Q3</t>
        </is>
      </c>
      <c r="E4" t="inlineStr">
        <is>
          <t>cross_modal</t>
        </is>
      </c>
      <c r="F4" t="inlineStr">
        <is>
          <t>multiple_choice</t>
        </is>
      </c>
      <c r="G4" t="inlineStr">
        <is>
          <t>What was the user doing when they mentioned being busy with dinner?</t>
        </is>
      </c>
      <c r="H4" t="inlineStr">
        <is>
          <t>{"A": "Making pasta", "B": "On a video call with Rachel", "C": "Picking up Sophie from school", "D": "Working on a logo design"}</t>
        </is>
      </c>
      <c r="I4" t="inlineStr">
        <is>
          <t>A</t>
        </is>
      </c>
      <c r="J4" t="inlineStr"/>
      <c r="K4" s="2">
        <f>IF(LOWER(TRIM(J4))=LOWER(TRIM(I4)),1,0)</f>
        <v/>
      </c>
      <c r="L4" s="2">
        <f>IF(AND(LOWER(TRIM(E4))="hallucination",LOWER(TRIM(I4))="no",LOWER(TRIM(J4))="yes"),1,0)</f>
        <v/>
      </c>
      <c r="M4" t="inlineStr"/>
      <c r="N4" t="inlineStr">
        <is>
          <t>The user explicitly mentioned 'Now I need to make dinner for Sophie. She's been asking for pasta all week.'</t>
        </is>
      </c>
    </row>
    <row r="5">
      <c r="A5" t="inlineStr">
        <is>
          <t>dataset_20260312_123350.json</t>
        </is>
      </c>
      <c r="B5" t="n">
        <v>1</v>
      </c>
      <c r="C5" t="inlineStr">
        <is>
          <t>Q4</t>
        </is>
      </c>
      <c r="D5" t="inlineStr">
        <is>
          <t>S1_Q4</t>
        </is>
      </c>
      <c r="E5" t="inlineStr">
        <is>
          <t>cross_modal</t>
        </is>
      </c>
      <c r="F5" t="inlineStr">
        <is>
          <t>multiple_choice</t>
        </is>
      </c>
      <c r="G5" t="inlineStr">
        <is>
          <t>What activity did Sophie do at school according to the user's conversation?</t>
        </is>
      </c>
      <c r="H5" t="inlineStr">
        <is>
          <t>{"A": "A science project", "B": "A sports game", "C": "A music class", "D": "A art class"}</t>
        </is>
      </c>
      <c r="I5" t="inlineStr">
        <is>
          <t>A</t>
        </is>
      </c>
      <c r="J5" t="inlineStr"/>
      <c r="K5" s="2">
        <f>IF(LOWER(TRIM(J5))=LOWER(TRIM(I5)),1,0)</f>
        <v/>
      </c>
      <c r="L5" s="2">
        <f>IF(AND(LOWER(TRIM(E5))="hallucination",LOWER(TRIM(I5))="no",LOWER(TRIM(J5))="yes"),1,0)</f>
        <v/>
      </c>
      <c r="M5" t="inlineStr"/>
      <c r="N5" t="inlineStr">
        <is>
          <t>The user asked Sophie about her day and Sophie replied, 'It was good, we did a science project.'</t>
        </is>
      </c>
    </row>
    <row r="6">
      <c r="A6" t="inlineStr">
        <is>
          <t>dataset_20260312_123350.json</t>
        </is>
      </c>
      <c r="B6" t="n">
        <v>1</v>
      </c>
      <c r="C6" t="inlineStr">
        <is>
          <t>Q5</t>
        </is>
      </c>
      <c r="D6" t="inlineStr">
        <is>
          <t>S1_Q5</t>
        </is>
      </c>
      <c r="E6" t="inlineStr">
        <is>
          <t>cross_modal</t>
        </is>
      </c>
      <c r="F6" t="inlineStr">
        <is>
          <t>multiple_choice</t>
        </is>
      </c>
      <c r="G6" t="inlineStr">
        <is>
          <t>What was the user's heart rate when they were actively engaging with Sophie?</t>
        </is>
      </c>
      <c r="H6" t="inlineStr">
        <is>
          <t>{"A": "80 bpm", "B": "85 bpm", "C": "70 bpm", "D": "60 bpm"}</t>
        </is>
      </c>
      <c r="I6" t="inlineStr">
        <is>
          <t>A</t>
        </is>
      </c>
      <c r="J6" t="inlineStr"/>
      <c r="K6" s="2">
        <f>IF(LOWER(TRIM(J6))=LOWER(TRIM(I6)),1,0)</f>
        <v/>
      </c>
      <c r="L6" s="2">
        <f>IF(AND(LOWER(TRIM(E6))="hallucination",LOWER(TRIM(I6))="no",LOWER(TRIM(J6))="yes"),1,0)</f>
        <v/>
      </c>
      <c r="M6" t="inlineStr"/>
      <c r="N6" t="inlineStr">
        <is>
          <t>The user's heart rate was 80 bpm at 17:00:00 when they started engaging with Sophie.</t>
        </is>
      </c>
    </row>
    <row r="7">
      <c r="A7" t="inlineStr">
        <is>
          <t>dataset_20260312_123350.json</t>
        </is>
      </c>
      <c r="B7" t="n">
        <v>1</v>
      </c>
      <c r="C7" t="inlineStr">
        <is>
          <t>Q6</t>
        </is>
      </c>
      <c r="D7" t="inlineStr">
        <is>
          <t>S1_Q6</t>
        </is>
      </c>
      <c r="E7" t="inlineStr">
        <is>
          <t>deduplication</t>
        </is>
      </c>
      <c r="F7" t="inlineStr">
        <is>
          <t>exact</t>
        </is>
      </c>
      <c r="G7" t="inlineStr">
        <is>
          <t>How many unique messages did the user send to Sophie?</t>
        </is>
      </c>
      <c r="H7" t="inlineStr"/>
      <c r="I7" t="inlineStr">
        <is>
          <t>3</t>
        </is>
      </c>
      <c r="J7" t="inlineStr"/>
      <c r="K7" s="2">
        <f>IF(LOWER(TRIM(J7))=LOWER(TRIM(I7)),1,0)</f>
        <v/>
      </c>
      <c r="L7" s="2">
        <f>IF(AND(LOWER(TRIM(E7))="hallucination",LOWER(TRIM(I7))="no",LOWER(TRIM(J7))="yes"),1,0)</f>
        <v/>
      </c>
      <c r="M7" t="inlineStr"/>
      <c r="N7" t="inlineStr">
        <is>
          <t>The user sent three unique messages to Sophie: 'Hey sweetie, how was your day?', 'That sounds fun, I'm proud of you. Can I watch TV now?', and 'Yes, but just for an hour, it's getting late'.</t>
        </is>
      </c>
    </row>
    <row r="8">
      <c r="A8" t="inlineStr">
        <is>
          <t>dataset_20260312_123350.json</t>
        </is>
      </c>
      <c r="B8" t="n">
        <v>1</v>
      </c>
      <c r="C8" t="inlineStr">
        <is>
          <t>Q7</t>
        </is>
      </c>
      <c r="D8" t="inlineStr">
        <is>
          <t>S1_Q7</t>
        </is>
      </c>
      <c r="E8" t="inlineStr">
        <is>
          <t>hallucination</t>
        </is>
      </c>
      <c r="F8" t="inlineStr">
        <is>
          <t>binary</t>
        </is>
      </c>
      <c r="G8" t="inlineStr">
        <is>
          <t>Did the user go to the movies yesterday?</t>
        </is>
      </c>
      <c r="H8" t="inlineStr"/>
      <c r="I8" t="inlineStr">
        <is>
          <t>No</t>
        </is>
      </c>
      <c r="J8" t="inlineStr"/>
      <c r="K8" s="2">
        <f>IF(LOWER(TRIM(J8))=LOWER(TRIM(I8)),1,0)</f>
        <v/>
      </c>
      <c r="L8" s="2">
        <f>IF(AND(LOWER(TRIM(E8))="hallucination",LOWER(TRIM(I8))="no",LOWER(TRIM(J8))="yes"),1,0)</f>
        <v/>
      </c>
      <c r="M8" t="inlineStr"/>
      <c r="N8" t="inlineStr">
        <is>
          <t>There is no mention of the user going to the movies in the provided data.</t>
        </is>
      </c>
    </row>
    <row r="9">
      <c r="A9" t="inlineStr">
        <is>
          <t>dataset_20260312_123350.json</t>
        </is>
      </c>
      <c r="B9" t="n">
        <v>1</v>
      </c>
      <c r="C9" t="inlineStr">
        <is>
          <t>Q8</t>
        </is>
      </c>
      <c r="D9" t="inlineStr">
        <is>
          <t>S1_Q8</t>
        </is>
      </c>
      <c r="E9" t="inlineStr">
        <is>
          <t>hallucination</t>
        </is>
      </c>
      <c r="F9" t="inlineStr">
        <is>
          <t>binary</t>
        </is>
      </c>
      <c r="G9" t="inlineStr">
        <is>
          <t>Did Sophie play basketball today?</t>
        </is>
      </c>
      <c r="H9" t="inlineStr"/>
      <c r="I9" t="inlineStr">
        <is>
          <t>No</t>
        </is>
      </c>
      <c r="J9" t="inlineStr"/>
      <c r="K9" s="2">
        <f>IF(LOWER(TRIM(J9))=LOWER(TRIM(I9)),1,0)</f>
        <v/>
      </c>
      <c r="L9" s="2">
        <f>IF(AND(LOWER(TRIM(E9))="hallucination",LOWER(TRIM(I9))="no",LOWER(TRIM(J9))="yes"),1,0)</f>
        <v/>
      </c>
      <c r="M9" t="inlineStr"/>
      <c r="N9" t="inlineStr">
        <is>
          <t>There is no mention of Sophie playing basketball in the provided data.</t>
        </is>
      </c>
    </row>
    <row r="10">
      <c r="A10" t="inlineStr">
        <is>
          <t>dataset_20260312_123350.json</t>
        </is>
      </c>
      <c r="B10" t="n">
        <v>2</v>
      </c>
      <c r="C10" t="inlineStr">
        <is>
          <t>Q1</t>
        </is>
      </c>
      <c r="D10" t="inlineStr">
        <is>
          <t>S2_Q1</t>
        </is>
      </c>
      <c r="E10" t="inlineStr">
        <is>
          <t>temporal</t>
        </is>
      </c>
      <c r="F10" t="inlineStr">
        <is>
          <t>exact</t>
        </is>
      </c>
      <c r="G10" t="inlineStr">
        <is>
          <t>What time did Sophie wake up?</t>
        </is>
      </c>
      <c r="H10" t="inlineStr"/>
      <c r="I10" t="inlineStr">
        <is>
          <t>08:00:00</t>
        </is>
      </c>
      <c r="J10" t="inlineStr"/>
      <c r="K10" s="2">
        <f>IF(LOWER(TRIM(J10))=LOWER(TRIM(I10)),1,0)</f>
        <v/>
      </c>
      <c r="L10" s="2">
        <f>IF(AND(LOWER(TRIM(E10))="hallucination",LOWER(TRIM(I10))="no",LOWER(TRIM(J10))="yes"),1,0)</f>
        <v/>
      </c>
      <c r="M10" t="inlineStr"/>
      <c r="N10" t="inlineStr">
        <is>
          <t>The message 'Wake up sweetie it's time to get dressed' was sent at 08:00, and the response 'I'm coming mom' was received at 08:02, indicating Sophie woke up around 08:00:00.</t>
        </is>
      </c>
    </row>
    <row r="11">
      <c r="A11" t="inlineStr">
        <is>
          <t>dataset_20260312_123350.json</t>
        </is>
      </c>
      <c r="B11" t="n">
        <v>2</v>
      </c>
      <c r="C11" t="inlineStr">
        <is>
          <t>Q2</t>
        </is>
      </c>
      <c r="D11" t="inlineStr">
        <is>
          <t>S2_Q2</t>
        </is>
      </c>
      <c r="E11" t="inlineStr">
        <is>
          <t>temporal</t>
        </is>
      </c>
      <c r="F11" t="inlineStr">
        <is>
          <t>binary</t>
        </is>
      </c>
      <c r="G11" t="inlineStr">
        <is>
          <t>Did the parent-teacher meeting happen before 15:00?</t>
        </is>
      </c>
      <c r="H11" t="inlineStr"/>
      <c r="I11" t="inlineStr">
        <is>
          <t>No</t>
        </is>
      </c>
      <c r="J11" t="inlineStr"/>
      <c r="K11" s="2">
        <f>IF(LOWER(TRIM(J11))=LOWER(TRIM(I11)),1,0)</f>
        <v/>
      </c>
      <c r="L11" s="2">
        <f>IF(AND(LOWER(TRIM(E11))="hallucination",LOWER(TRIM(I11))="no",LOWER(TRIM(J11))="yes"),1,0)</f>
        <v/>
      </c>
      <c r="M11" t="inlineStr"/>
      <c r="N11" t="inlineStr">
        <is>
          <t>The calendar event for the parent-teacher meeting is scheduled from 15:00 to 16:00, so it did not happen before 15:00.</t>
        </is>
      </c>
    </row>
    <row r="12">
      <c r="A12" t="inlineStr">
        <is>
          <t>dataset_20260312_123350.json</t>
        </is>
      </c>
      <c r="B12" t="n">
        <v>2</v>
      </c>
      <c r="C12" t="inlineStr">
        <is>
          <t>Q3</t>
        </is>
      </c>
      <c r="D12" t="inlineStr">
        <is>
          <t>S2_Q3</t>
        </is>
      </c>
      <c r="E12" t="inlineStr">
        <is>
          <t>cross_modal</t>
        </is>
      </c>
      <c r="F12" t="inlineStr">
        <is>
          <t>multiple_choice</t>
        </is>
      </c>
      <c r="G12" t="inlineStr">
        <is>
          <t>What activity was Sophie doing while her heart rate was increasing?</t>
        </is>
      </c>
      <c r="H12" t="inlineStr">
        <is>
          <t>{"A": "Eating breakfast", "B": "Getting dressed", "C": "Walking to school", "D": "Playing outside"}</t>
        </is>
      </c>
      <c r="I12" t="inlineStr">
        <is>
          <t>B</t>
        </is>
      </c>
      <c r="J12" t="inlineStr"/>
      <c r="K12" s="2">
        <f>IF(LOWER(TRIM(J12))=LOWER(TRIM(I12)),1,0)</f>
        <v/>
      </c>
      <c r="L12" s="2">
        <f>IF(AND(LOWER(TRIM(E12))="hallucination",LOWER(TRIM(I12))="no",LOWER(TRIM(J12))="yes"),1,0)</f>
        <v/>
      </c>
      <c r="M12" t="inlineStr"/>
      <c r="N12" t="inlineStr">
        <is>
          <t>The dialogue mentions 'Can you grab your backpack while I make some breakfast?' and 'I'm almost ready.' The smartwatch data shows an increasing heart rate from 80 to 90 bpm between 08:00 and 08:20, which is likely due to getting dressed and preparing for school.</t>
        </is>
      </c>
    </row>
    <row r="13">
      <c r="A13" t="inlineStr">
        <is>
          <t>dataset_20260312_123350.json</t>
        </is>
      </c>
      <c r="B13" t="n">
        <v>2</v>
      </c>
      <c r="C13" t="inlineStr">
        <is>
          <t>Q4</t>
        </is>
      </c>
      <c r="D13" t="inlineStr">
        <is>
          <t>S2_Q4</t>
        </is>
      </c>
      <c r="E13" t="inlineStr">
        <is>
          <t>cross_modal</t>
        </is>
      </c>
      <c r="F13" t="inlineStr">
        <is>
          <t>multiple_choice</t>
        </is>
      </c>
      <c r="G13" t="inlineStr">
        <is>
          <t>What was the user doing when they received a notification about the Johnson project deadline?</t>
        </is>
      </c>
      <c r="H13" t="inlineStr">
        <is>
          <t>{"A": "Making breakfast", "B": "Getting Sophie ready for school", "C": "Checking their schedule", "D": "Working on the project"}</t>
        </is>
      </c>
      <c r="I13" t="inlineStr">
        <is>
          <t>C</t>
        </is>
      </c>
      <c r="J13" t="inlineStr"/>
      <c r="K13" s="2">
        <f>IF(LOWER(TRIM(J13))=LOWER(TRIM(I13)),1,0)</f>
        <v/>
      </c>
      <c r="L13" s="2">
        <f>IF(AND(LOWER(TRIM(E13))="hallucination",LOWER(TRIM(I13))="no",LOWER(TRIM(J13))="yes"),1,0)</f>
        <v/>
      </c>
      <c r="M13" t="inlineStr"/>
      <c r="N13" t="inlineStr">
        <is>
          <t>The dialogue mentions 'I need to check my schedule for the day' and the Slack message about the Johnson project deadline was received at 08:15, indicating the user was checking their schedule when they received the notification.</t>
        </is>
      </c>
    </row>
    <row r="14">
      <c r="A14" t="inlineStr">
        <is>
          <t>dataset_20260312_123350.json</t>
        </is>
      </c>
      <c r="B14" t="n">
        <v>2</v>
      </c>
      <c r="C14" t="inlineStr">
        <is>
          <t>Q5</t>
        </is>
      </c>
      <c r="D14" t="inlineStr">
        <is>
          <t>S2_Q5</t>
        </is>
      </c>
      <c r="E14" t="inlineStr">
        <is>
          <t>cross_modal</t>
        </is>
      </c>
      <c r="F14" t="inlineStr">
        <is>
          <t>multiple_choice</t>
        </is>
      </c>
      <c r="G14" t="inlineStr">
        <is>
          <t>What was the user's mode of transportation to school?</t>
        </is>
      </c>
      <c r="H14" t="inlineStr">
        <is>
          <t>{"A": "Driving", "B": "Walking", "C": "Taking public transportation", "D": "Not mentioned"}</t>
        </is>
      </c>
      <c r="I14" t="inlineStr">
        <is>
          <t>D</t>
        </is>
      </c>
      <c r="J14" t="inlineStr"/>
      <c r="K14" s="2">
        <f>IF(LOWER(TRIM(J14))=LOWER(TRIM(I14)),1,0)</f>
        <v/>
      </c>
      <c r="L14" s="2">
        <f>IF(AND(LOWER(TRIM(E14))="hallucination",LOWER(TRIM(I14))="no",LOWER(TRIM(J14))="yes"),1,0)</f>
        <v/>
      </c>
      <c r="M14" t="inlineStr"/>
      <c r="N14" t="inlineStr">
        <is>
          <t>The dialogue and sensor data do not explicitly mention the user's mode of transportation to school.</t>
        </is>
      </c>
    </row>
    <row r="15">
      <c r="A15" t="inlineStr">
        <is>
          <t>dataset_20260312_123350.json</t>
        </is>
      </c>
      <c r="B15" t="n">
        <v>2</v>
      </c>
      <c r="C15" t="inlineStr">
        <is>
          <t>Q6</t>
        </is>
      </c>
      <c r="D15" t="inlineStr">
        <is>
          <t>S2_Q6</t>
        </is>
      </c>
      <c r="E15" t="inlineStr">
        <is>
          <t>deduplication</t>
        </is>
      </c>
      <c r="F15" t="inlineStr">
        <is>
          <t>exact</t>
        </is>
      </c>
      <c r="G15" t="inlineStr">
        <is>
          <t>How many unique messages were sent to Sophie?</t>
        </is>
      </c>
      <c r="H15" t="inlineStr"/>
      <c r="I15" t="inlineStr">
        <is>
          <t>2</t>
        </is>
      </c>
      <c r="J15" t="inlineStr"/>
      <c r="K15" s="2">
        <f>IF(LOWER(TRIM(J15))=LOWER(TRIM(I15)),1,0)</f>
        <v/>
      </c>
      <c r="L15" s="2">
        <f>IF(AND(LOWER(TRIM(E15))="hallucination",LOWER(TRIM(I15))="no",LOWER(TRIM(J15))="yes"),1,0)</f>
        <v/>
      </c>
      <c r="M15" t="inlineStr"/>
      <c r="N15" t="inlineStr">
        <is>
          <t>The messages sent to Sophie are 'Wake up sweetie it's time to get dressed' and 'Don't forget we have a parent-teacher meeting today at 3 PM', which are two unique messages.</t>
        </is>
      </c>
    </row>
    <row r="16">
      <c r="A16" t="inlineStr">
        <is>
          <t>dataset_20260312_123350.json</t>
        </is>
      </c>
      <c r="B16" t="n">
        <v>2</v>
      </c>
      <c r="C16" t="inlineStr">
        <is>
          <t>Q7</t>
        </is>
      </c>
      <c r="D16" t="inlineStr">
        <is>
          <t>S2_Q7</t>
        </is>
      </c>
      <c r="E16" t="inlineStr">
        <is>
          <t>hallucination</t>
        </is>
      </c>
      <c r="F16" t="inlineStr">
        <is>
          <t>binary</t>
        </is>
      </c>
      <c r="G16" t="inlineStr">
        <is>
          <t>Did Sophie go to the park?</t>
        </is>
      </c>
      <c r="H16" t="inlineStr"/>
      <c r="I16" t="inlineStr">
        <is>
          <t>No</t>
        </is>
      </c>
      <c r="J16" t="inlineStr"/>
      <c r="K16" s="2">
        <f>IF(LOWER(TRIM(J16))=LOWER(TRIM(I16)),1,0)</f>
        <v/>
      </c>
      <c r="L16" s="2">
        <f>IF(AND(LOWER(TRIM(E16))="hallucination",LOWER(TRIM(I16))="no",LOWER(TRIM(J16))="yes"),1,0)</f>
        <v/>
      </c>
      <c r="M16" t="inlineStr"/>
      <c r="N16" t="inlineStr">
        <is>
          <t>There is no mention of Sophie going to the park in the dialogue, calendar events, or sensor data.</t>
        </is>
      </c>
    </row>
    <row r="17">
      <c r="A17" t="inlineStr">
        <is>
          <t>dataset_20260312_123350.json</t>
        </is>
      </c>
      <c r="B17" t="n">
        <v>2</v>
      </c>
      <c r="C17" t="inlineStr">
        <is>
          <t>Q8</t>
        </is>
      </c>
      <c r="D17" t="inlineStr">
        <is>
          <t>S2_Q8</t>
        </is>
      </c>
      <c r="E17" t="inlineStr">
        <is>
          <t>hallucination</t>
        </is>
      </c>
      <c r="F17" t="inlineStr">
        <is>
          <t>binary</t>
        </is>
      </c>
      <c r="G17" t="inlineStr">
        <is>
          <t>Did the user have a meeting with a client?</t>
        </is>
      </c>
      <c r="H17" t="inlineStr"/>
      <c r="I17" t="inlineStr">
        <is>
          <t>No</t>
        </is>
      </c>
      <c r="J17" t="inlineStr"/>
      <c r="K17" s="2">
        <f>IF(LOWER(TRIM(J17))=LOWER(TRIM(I17)),1,0)</f>
        <v/>
      </c>
      <c r="L17" s="2">
        <f>IF(AND(LOWER(TRIM(E17))="hallucination",LOWER(TRIM(I17))="no",LOWER(TRIM(J17))="yes"),1,0)</f>
        <v/>
      </c>
      <c r="M17" t="inlineStr"/>
      <c r="N17" t="inlineStr">
        <is>
          <t>There is no mention of a client meeting in the dialogue, calendar events, or sensor data.</t>
        </is>
      </c>
    </row>
    <row r="18">
      <c r="A18" t="inlineStr">
        <is>
          <t>dataset_20260312_123350.json</t>
        </is>
      </c>
      <c r="B18" t="n">
        <v>3</v>
      </c>
      <c r="C18" t="inlineStr">
        <is>
          <t>Q1</t>
        </is>
      </c>
      <c r="D18" t="inlineStr">
        <is>
          <t>S3_Q1</t>
        </is>
      </c>
      <c r="E18" t="inlineStr">
        <is>
          <t>temporal</t>
        </is>
      </c>
      <c r="F18" t="inlineStr">
        <is>
          <t>exact</t>
        </is>
      </c>
      <c r="G18" t="inlineStr">
        <is>
          <t>What time did the user start their yoga?</t>
        </is>
      </c>
      <c r="H18" t="inlineStr"/>
      <c r="I18" t="inlineStr">
        <is>
          <t>14:00:00</t>
        </is>
      </c>
      <c r="J18" t="inlineStr"/>
      <c r="K18" s="2">
        <f>IF(LOWER(TRIM(J18))=LOWER(TRIM(I18)),1,0)</f>
        <v/>
      </c>
      <c r="L18" s="2">
        <f>IF(AND(LOWER(TRIM(E18))="hallucination",LOWER(TRIM(I18))="no",LOWER(TRIM(J18))="yes"),1,0)</f>
        <v/>
      </c>
      <c r="M18" t="inlineStr"/>
      <c r="N18" t="inlineStr">
        <is>
          <t>The user's smartwatch data shows a heart rate of 75 and 120 steps at 14:00:00, which is the earliest timestamp and likely when the user started their break and yoga.</t>
        </is>
      </c>
    </row>
    <row r="19">
      <c r="A19" t="inlineStr">
        <is>
          <t>dataset_20260312_123350.json</t>
        </is>
      </c>
      <c r="B19" t="n">
        <v>3</v>
      </c>
      <c r="C19" t="inlineStr">
        <is>
          <t>Q2</t>
        </is>
      </c>
      <c r="D19" t="inlineStr">
        <is>
          <t>S3_Q2</t>
        </is>
      </c>
      <c r="E19" t="inlineStr">
        <is>
          <t>temporal</t>
        </is>
      </c>
      <c r="F19" t="inlineStr">
        <is>
          <t>binary</t>
        </is>
      </c>
      <c r="G19" t="inlineStr">
        <is>
          <t>Did the user send a message to Rachel before 14:05:00?</t>
        </is>
      </c>
      <c r="H19" t="inlineStr"/>
      <c r="I19" t="inlineStr">
        <is>
          <t>Yes</t>
        </is>
      </c>
      <c r="J19" t="inlineStr"/>
      <c r="K19" s="2">
        <f>IF(LOWER(TRIM(J19))=LOWER(TRIM(I19)),1,0)</f>
        <v/>
      </c>
      <c r="L19" s="2">
        <f>IF(AND(LOWER(TRIM(E19))="hallucination",LOWER(TRIM(I19))="no",LOWER(TRIM(J19))="yes"),1,0)</f>
        <v/>
      </c>
      <c r="M19" t="inlineStr"/>
      <c r="N19" t="inlineStr">
        <is>
          <t>The user sent a WhatsApp message to Rachel at 14:05:00, which is exactly at the specified time, so it can be inferred that the user sent the message before 14:05:00.</t>
        </is>
      </c>
    </row>
    <row r="20">
      <c r="A20" t="inlineStr">
        <is>
          <t>dataset_20260312_123350.json</t>
        </is>
      </c>
      <c r="B20" t="n">
        <v>3</v>
      </c>
      <c r="C20" t="inlineStr">
        <is>
          <t>Q3</t>
        </is>
      </c>
      <c r="D20" t="inlineStr">
        <is>
          <t>S3_Q3</t>
        </is>
      </c>
      <c r="E20" t="inlineStr">
        <is>
          <t>cross_modal</t>
        </is>
      </c>
      <c r="F20" t="inlineStr">
        <is>
          <t>multiple_choice</t>
        </is>
      </c>
      <c r="G20" t="inlineStr">
        <is>
          <t>What activity did the user do while mentioning their back being tight?</t>
        </is>
      </c>
      <c r="H20" t="inlineStr">
        <is>
          <t>{"A": "Yoga", "B": "Walking", "C": "Lifting weights", "D": "Running"}</t>
        </is>
      </c>
      <c r="I20" t="inlineStr">
        <is>
          <t>A</t>
        </is>
      </c>
      <c r="J20" t="inlineStr"/>
      <c r="K20" s="2">
        <f>IF(LOWER(TRIM(J20))=LOWER(TRIM(I20)),1,0)</f>
        <v/>
      </c>
      <c r="L20" s="2">
        <f>IF(AND(LOWER(TRIM(E20))="hallucination",LOWER(TRIM(I20))="no",LOWER(TRIM(J20))="yes"),1,0)</f>
        <v/>
      </c>
      <c r="M20" t="inlineStr"/>
      <c r="N20" t="inlineStr">
        <is>
          <t>The user mentioned 'Hmm my back is a bit tight today. I'll just stretch for a bit then.' while likely doing yoga as previously mentioned.</t>
        </is>
      </c>
    </row>
    <row r="21">
      <c r="A21" t="inlineStr">
        <is>
          <t>dataset_20260312_123350.json</t>
        </is>
      </c>
      <c r="B21" t="n">
        <v>3</v>
      </c>
      <c r="C21" t="inlineStr">
        <is>
          <t>Q4</t>
        </is>
      </c>
      <c r="D21" t="inlineStr">
        <is>
          <t>S3_Q4</t>
        </is>
      </c>
      <c r="E21" t="inlineStr">
        <is>
          <t>cross_modal</t>
        </is>
      </c>
      <c r="F21" t="inlineStr">
        <is>
          <t>multiple_choice</t>
        </is>
      </c>
      <c r="G21" t="inlineStr">
        <is>
          <t>What did the user consider making before deciding on tea?</t>
        </is>
      </c>
      <c r="H21" t="inlineStr">
        <is>
          <t>{"A": "Coffee", "B": "Juice", "C": "Water", "D": "Soda"}</t>
        </is>
      </c>
      <c r="I21" t="inlineStr">
        <is>
          <t>A</t>
        </is>
      </c>
      <c r="J21" t="inlineStr"/>
      <c r="K21" s="2">
        <f>IF(LOWER(TRIM(J21))=LOWER(TRIM(I21)),1,0)</f>
        <v/>
      </c>
      <c r="L21" s="2">
        <f>IF(AND(LOWER(TRIM(E21))="hallucination",LOWER(TRIM(I21))="no",LOWER(TRIM(J21))="yes"),1,0)</f>
        <v/>
      </c>
      <c r="M21" t="inlineStr"/>
      <c r="N21" t="inlineStr">
        <is>
          <t>The user explicitly mentioned 'Should I make a cup of tea or coffee?' before deciding on tea.</t>
        </is>
      </c>
    </row>
    <row r="22">
      <c r="A22" t="inlineStr">
        <is>
          <t>dataset_20260312_123350.json</t>
        </is>
      </c>
      <c r="B22" t="n">
        <v>3</v>
      </c>
      <c r="C22" t="inlineStr">
        <is>
          <t>Q5</t>
        </is>
      </c>
      <c r="D22" t="inlineStr">
        <is>
          <t>S3_Q5</t>
        </is>
      </c>
      <c r="E22" t="inlineStr">
        <is>
          <t>cross_modal</t>
        </is>
      </c>
      <c r="F22" t="inlineStr">
        <is>
          <t>multiple_choice</t>
        </is>
      </c>
      <c r="G22" t="inlineStr">
        <is>
          <t>Who did the user plan to call later according to their dialogue and calendar?</t>
        </is>
      </c>
      <c r="H22" t="inlineStr">
        <is>
          <t>{"A": "Rachel", "B": "Samantha", "C": "Mia", "D": "Olivia"}</t>
        </is>
      </c>
      <c r="I22" t="inlineStr">
        <is>
          <t>A</t>
        </is>
      </c>
      <c r="J22" t="inlineStr"/>
      <c r="K22" s="2">
        <f>IF(LOWER(TRIM(J22))=LOWER(TRIM(I22)),1,0)</f>
        <v/>
      </c>
      <c r="L22" s="2">
        <f>IF(AND(LOWER(TRIM(E22))="hallucination",LOWER(TRIM(I22))="no",LOWER(TRIM(J22))="yes"),1,0)</f>
        <v/>
      </c>
      <c r="M22" t="inlineStr"/>
      <c r="N22" t="inlineStr">
        <is>
          <t>The user mentioned 'Maybe I'll call Rachel later and catch up.' and the calendar event 'Call Rachel' is scheduled for 14:30.</t>
        </is>
      </c>
    </row>
    <row r="23">
      <c r="A23" t="inlineStr">
        <is>
          <t>dataset_20260312_123350.json</t>
        </is>
      </c>
      <c r="B23" t="n">
        <v>3</v>
      </c>
      <c r="C23" t="inlineStr">
        <is>
          <t>Q6</t>
        </is>
      </c>
      <c r="D23" t="inlineStr">
        <is>
          <t>S3_Q6</t>
        </is>
      </c>
      <c r="E23" t="inlineStr">
        <is>
          <t>deduplication</t>
        </is>
      </c>
      <c r="F23" t="inlineStr">
        <is>
          <t>exact</t>
        </is>
      </c>
      <c r="G23" t="inlineStr">
        <is>
          <t>How many unique messages did the user send?</t>
        </is>
      </c>
      <c r="H23" t="inlineStr"/>
      <c r="I23" t="inlineStr">
        <is>
          <t>3</t>
        </is>
      </c>
      <c r="J23" t="inlineStr"/>
      <c r="K23" s="2">
        <f>IF(LOWER(TRIM(J23))=LOWER(TRIM(I23)),1,0)</f>
        <v/>
      </c>
      <c r="L23" s="2">
        <f>IF(AND(LOWER(TRIM(E23))="hallucination",LOWER(TRIM(I23))="no",LOWER(TRIM(J23))="yes"),1,0)</f>
        <v/>
      </c>
      <c r="M23" t="inlineStr"/>
      <c r="N23" t="inlineStr">
        <is>
          <t>The user sent messages to Rachel, Samantha (reply not shown but sent), and Mia, which are 3 unique messages.</t>
        </is>
      </c>
    </row>
    <row r="24">
      <c r="A24" t="inlineStr">
        <is>
          <t>dataset_20260312_123350.json</t>
        </is>
      </c>
      <c r="B24" t="n">
        <v>3</v>
      </c>
      <c r="C24" t="inlineStr">
        <is>
          <t>Q7</t>
        </is>
      </c>
      <c r="D24" t="inlineStr">
        <is>
          <t>S3_Q7</t>
        </is>
      </c>
      <c r="E24" t="inlineStr">
        <is>
          <t>hallucination</t>
        </is>
      </c>
      <c r="F24" t="inlineStr">
        <is>
          <t>binary</t>
        </is>
      </c>
      <c r="G24" t="inlineStr">
        <is>
          <t>Did the user go to the swimming pool?</t>
        </is>
      </c>
      <c r="H24" t="inlineStr"/>
      <c r="I24" t="inlineStr">
        <is>
          <t>No</t>
        </is>
      </c>
      <c r="J24" t="inlineStr"/>
      <c r="K24" s="2">
        <f>IF(LOWER(TRIM(J24))=LOWER(TRIM(I24)),1,0)</f>
        <v/>
      </c>
      <c r="L24" s="2">
        <f>IF(AND(LOWER(TRIM(E24))="hallucination",LOWER(TRIM(I24))="no",LOWER(TRIM(J24))="yes"),1,0)</f>
        <v/>
      </c>
      <c r="M24" t="inlineStr"/>
      <c r="N24" t="inlineStr">
        <is>
          <t>There is no mention or data indicating the user went to the swimming pool.</t>
        </is>
      </c>
    </row>
    <row r="25">
      <c r="A25" t="inlineStr">
        <is>
          <t>dataset_20260312_123350.json</t>
        </is>
      </c>
      <c r="B25" t="n">
        <v>3</v>
      </c>
      <c r="C25" t="inlineStr">
        <is>
          <t>Q8</t>
        </is>
      </c>
      <c r="D25" t="inlineStr">
        <is>
          <t>S3_Q8</t>
        </is>
      </c>
      <c r="E25" t="inlineStr">
        <is>
          <t>hallucination</t>
        </is>
      </c>
      <c r="F25" t="inlineStr">
        <is>
          <t>binary</t>
        </is>
      </c>
      <c r="G25" t="inlineStr">
        <is>
          <t>Did the user attend a meeting at the office?</t>
        </is>
      </c>
      <c r="H25" t="inlineStr"/>
      <c r="I25" t="inlineStr">
        <is>
          <t>No</t>
        </is>
      </c>
      <c r="J25" t="inlineStr"/>
      <c r="K25" s="2">
        <f>IF(LOWER(TRIM(J25))=LOWER(TRIM(I25)),1,0)</f>
        <v/>
      </c>
      <c r="L25" s="2">
        <f>IF(AND(LOWER(TRIM(E25))="hallucination",LOWER(TRIM(I25))="no",LOWER(TRIM(J25))="yes"),1,0)</f>
        <v/>
      </c>
      <c r="M25" t="inlineStr"/>
      <c r="N25" t="inlineStr">
        <is>
          <t>There is no mention or data indicating the user attended a meeting at the office.</t>
        </is>
      </c>
    </row>
    <row r="26">
      <c r="A26" t="inlineStr">
        <is>
          <t>dataset_20260312_123350.json</t>
        </is>
      </c>
      <c r="B26" t="n">
        <v>4</v>
      </c>
      <c r="C26" t="inlineStr">
        <is>
          <t>Q1</t>
        </is>
      </c>
      <c r="D26" t="inlineStr">
        <is>
          <t>S4_Q1</t>
        </is>
      </c>
      <c r="E26" t="inlineStr">
        <is>
          <t>temporal</t>
        </is>
      </c>
      <c r="F26" t="inlineStr">
        <is>
          <t>exact</t>
        </is>
      </c>
      <c r="G26" t="inlineStr">
        <is>
          <t>What time did the user get back from their walk according to their sister?</t>
        </is>
      </c>
      <c r="H26" t="inlineStr"/>
      <c r="I26" t="inlineStr">
        <is>
          <t>18:07</t>
        </is>
      </c>
      <c r="J26" t="inlineStr"/>
      <c r="K26" s="2">
        <f>IF(LOWER(TRIM(J26))=LOWER(TRIM(I26)),1,0)</f>
        <v/>
      </c>
      <c r="L26" s="2">
        <f>IF(AND(LOWER(TRIM(E26))="hallucination",LOWER(TRIM(I26))="no",LOWER(TRIM(J26))="yes"),1,0)</f>
        <v/>
      </c>
      <c r="M26" t="inlineStr"/>
      <c r="N26" t="inlineStr">
        <is>
          <t>The user's sister mentioned 'Good good just got back from a walk.' at timestamp 18:07.</t>
        </is>
      </c>
    </row>
    <row r="27">
      <c r="A27" t="inlineStr">
        <is>
          <t>dataset_20260312_123350.json</t>
        </is>
      </c>
      <c r="B27" t="n">
        <v>4</v>
      </c>
      <c r="C27" t="inlineStr">
        <is>
          <t>Q2</t>
        </is>
      </c>
      <c r="D27" t="inlineStr">
        <is>
          <t>S4_Q2</t>
        </is>
      </c>
      <c r="E27" t="inlineStr">
        <is>
          <t>temporal</t>
        </is>
      </c>
      <c r="F27" t="inlineStr">
        <is>
          <t>binary</t>
        </is>
      </c>
      <c r="G27" t="inlineStr">
        <is>
          <t>Did the user have a video call with their sister before 14:00?</t>
        </is>
      </c>
      <c r="H27" t="inlineStr"/>
      <c r="I27" t="inlineStr">
        <is>
          <t>No</t>
        </is>
      </c>
      <c r="J27" t="inlineStr"/>
      <c r="K27" s="2">
        <f>IF(LOWER(TRIM(J27))=LOWER(TRIM(I27)),1,0)</f>
        <v/>
      </c>
      <c r="L27" s="2">
        <f>IF(AND(LOWER(TRIM(E27))="hallucination",LOWER(TRIM(I27))="no",LOWER(TRIM(J27))="yes"),1,0)</f>
        <v/>
      </c>
      <c r="M27" t="inlineStr"/>
      <c r="N27" t="inlineStr">
        <is>
          <t>The video call app usage on the smartphone was 15 minutes, starting at an unspecified time, but the earliest smartwatch data is at 14:00:00.</t>
        </is>
      </c>
    </row>
    <row r="28">
      <c r="A28" t="inlineStr">
        <is>
          <t>dataset_20260312_123350.json</t>
        </is>
      </c>
      <c r="B28" t="n">
        <v>4</v>
      </c>
      <c r="C28" t="inlineStr">
        <is>
          <t>Q3</t>
        </is>
      </c>
      <c r="D28" t="inlineStr">
        <is>
          <t>S4_Q3</t>
        </is>
      </c>
      <c r="E28" t="inlineStr">
        <is>
          <t>cross_modal</t>
        </is>
      </c>
      <c r="F28" t="inlineStr">
        <is>
          <t>multiple_choice</t>
        </is>
      </c>
      <c r="G28" t="inlineStr">
        <is>
          <t>What was the user's activity when they mentioned being jealous to their sister?</t>
        </is>
      </c>
      <c r="H28" t="inlineStr">
        <is>
          <t>{"A": "Walking", "B": "On a video call", "C": "Working", "D": "Driving"}</t>
        </is>
      </c>
      <c r="I28" t="inlineStr">
        <is>
          <t>B</t>
        </is>
      </c>
      <c r="J28" t="inlineStr"/>
      <c r="K28" s="2">
        <f>IF(LOWER(TRIM(J28))=LOWER(TRIM(I28)),1,0)</f>
        <v/>
      </c>
      <c r="L28" s="2">
        <f>IF(AND(LOWER(TRIM(E28))="hallucination",LOWER(TRIM(I28))="no",LOWER(TRIM(J28))="yes"),1,0)</f>
        <v/>
      </c>
      <c r="M28" t="inlineStr"/>
      <c r="N28" t="inlineStr">
        <is>
          <t>The user mentioned 'I'm so jealous I need to get out more.' during a video call with their sister.</t>
        </is>
      </c>
    </row>
    <row r="29">
      <c r="A29" t="inlineStr">
        <is>
          <t>dataset_20260312_123350.json</t>
        </is>
      </c>
      <c r="B29" t="n">
        <v>4</v>
      </c>
      <c r="C29" t="inlineStr">
        <is>
          <t>Q4</t>
        </is>
      </c>
      <c r="D29" t="inlineStr">
        <is>
          <t>S4_Q4</t>
        </is>
      </c>
      <c r="E29" t="inlineStr">
        <is>
          <t>cross_modal</t>
        </is>
      </c>
      <c r="F29" t="inlineStr">
        <is>
          <t>multiple_choice</t>
        </is>
      </c>
      <c r="G29" t="inlineStr">
        <is>
          <t>How did the user's sister feel about the weather where she was?</t>
        </is>
      </c>
      <c r="H29" t="inlineStr">
        <is>
          <t>{"A": "It was warm", "B": "It was freezing", "C": "It was rainy", "D": "It was sunny"}</t>
        </is>
      </c>
      <c r="I29" t="inlineStr">
        <is>
          <t>B</t>
        </is>
      </c>
      <c r="J29" t="inlineStr"/>
      <c r="K29" s="2">
        <f>IF(LOWER(TRIM(J29))=LOWER(TRIM(I29)),1,0)</f>
        <v/>
      </c>
      <c r="L29" s="2">
        <f>IF(AND(LOWER(TRIM(E29))="hallucination",LOWER(TRIM(I29))="no",LOWER(TRIM(J29))="yes"),1,0)</f>
        <v/>
      </c>
      <c r="M29" t="inlineStr"/>
      <c r="N29" t="inlineStr">
        <is>
          <t>The user's sister mentioned 'It's freezing.'</t>
        </is>
      </c>
    </row>
    <row r="30">
      <c r="A30" t="inlineStr">
        <is>
          <t>dataset_20260312_123350.json</t>
        </is>
      </c>
      <c r="B30" t="n">
        <v>4</v>
      </c>
      <c r="C30" t="inlineStr">
        <is>
          <t>Q5</t>
        </is>
      </c>
      <c r="D30" t="inlineStr">
        <is>
          <t>S4_Q5</t>
        </is>
      </c>
      <c r="E30" t="inlineStr">
        <is>
          <t>cross_modal</t>
        </is>
      </c>
      <c r="F30" t="inlineStr">
        <is>
          <t>multiple_choice</t>
        </is>
      </c>
      <c r="G30" t="inlineStr">
        <is>
          <t>What was the user's plan for Sophie on the weekend?</t>
        </is>
      </c>
      <c r="H30" t="inlineStr">
        <is>
          <t>{"A": "Take Sophie to the gym", "B": "Take Sophie to the park", "C": "Take Sophie to the mall", "D": "Take Sophie to the beach"}</t>
        </is>
      </c>
      <c r="I30" t="inlineStr">
        <is>
          <t>B</t>
        </is>
      </c>
      <c r="J30" t="inlineStr"/>
      <c r="K30" s="2">
        <f>IF(LOWER(TRIM(J30))=LOWER(TRIM(I30)),1,0)</f>
        <v/>
      </c>
      <c r="L30" s="2">
        <f>IF(AND(LOWER(TRIM(E30))="hallucination",LOWER(TRIM(I30))="no",LOWER(TRIM(J30))="yes"),1,0)</f>
        <v/>
      </c>
      <c r="M30" t="inlineStr"/>
      <c r="N30" t="inlineStr">
        <is>
          <t>The user mentioned 'I was thinking of taking Sophie to the park.'</t>
        </is>
      </c>
    </row>
    <row r="31">
      <c r="A31" t="inlineStr">
        <is>
          <t>dataset_20260312_123350.json</t>
        </is>
      </c>
      <c r="B31" t="n">
        <v>4</v>
      </c>
      <c r="C31" t="inlineStr">
        <is>
          <t>Q6</t>
        </is>
      </c>
      <c r="D31" t="inlineStr">
        <is>
          <t>S4_Q6</t>
        </is>
      </c>
      <c r="E31" t="inlineStr">
        <is>
          <t>deduplication</t>
        </is>
      </c>
      <c r="F31" t="inlineStr">
        <is>
          <t>exact</t>
        </is>
      </c>
      <c r="G31" t="inlineStr">
        <is>
          <t>How many unique events of going for a walk is mentioned?</t>
        </is>
      </c>
      <c r="H31" t="inlineStr"/>
      <c r="I31" t="inlineStr">
        <is>
          <t>1</t>
        </is>
      </c>
      <c r="J31" t="inlineStr"/>
      <c r="K31" s="2">
        <f>IF(LOWER(TRIM(J31))=LOWER(TRIM(I31)),1,0)</f>
        <v/>
      </c>
      <c r="L31" s="2">
        <f>IF(AND(LOWER(TRIM(E31))="hallucination",LOWER(TRIM(I31))="no",LOWER(TRIM(J31))="yes"),1,0)</f>
        <v/>
      </c>
      <c r="M31" t="inlineStr"/>
      <c r="N31" t="inlineStr">
        <is>
          <t>The user's sister mentioned going for a walk only once.</t>
        </is>
      </c>
    </row>
    <row r="32">
      <c r="A32" t="inlineStr">
        <is>
          <t>dataset_20260312_123350.json</t>
        </is>
      </c>
      <c r="B32" t="n">
        <v>4</v>
      </c>
      <c r="C32" t="inlineStr">
        <is>
          <t>Q7</t>
        </is>
      </c>
      <c r="D32" t="inlineStr">
        <is>
          <t>S4_Q7</t>
        </is>
      </c>
      <c r="E32" t="inlineStr">
        <is>
          <t>hallucination</t>
        </is>
      </c>
      <c r="F32" t="inlineStr">
        <is>
          <t>binary</t>
        </is>
      </c>
      <c r="G32" t="inlineStr">
        <is>
          <t>Did the user go to the beach on Thursday?</t>
        </is>
      </c>
      <c r="H32" t="inlineStr"/>
      <c r="I32" t="inlineStr">
        <is>
          <t>No</t>
        </is>
      </c>
      <c r="J32" t="inlineStr"/>
      <c r="K32" s="2">
        <f>IF(LOWER(TRIM(J32))=LOWER(TRIM(I32)),1,0)</f>
        <v/>
      </c>
      <c r="L32" s="2">
        <f>IF(AND(LOWER(TRIM(E32))="hallucination",LOWER(TRIM(I32))="no",LOWER(TRIM(J32))="yes"),1,0)</f>
        <v/>
      </c>
      <c r="M32" t="inlineStr"/>
      <c r="N32" t="inlineStr">
        <is>
          <t>There is no mention of the user going to the beach in the provided data.</t>
        </is>
      </c>
    </row>
    <row r="33">
      <c r="A33" t="inlineStr">
        <is>
          <t>dataset_20260312_123350.json</t>
        </is>
      </c>
      <c r="B33" t="n">
        <v>4</v>
      </c>
      <c r="C33" t="inlineStr">
        <is>
          <t>Q8</t>
        </is>
      </c>
      <c r="D33" t="inlineStr">
        <is>
          <t>S4_Q8</t>
        </is>
      </c>
      <c r="E33" t="inlineStr">
        <is>
          <t>hallucination</t>
        </is>
      </c>
      <c r="F33" t="inlineStr">
        <is>
          <t>binary</t>
        </is>
      </c>
      <c r="G33" t="inlineStr">
        <is>
          <t>Did the user have a meeting at the office on Thursday?</t>
        </is>
      </c>
      <c r="H33" t="inlineStr"/>
      <c r="I33" t="inlineStr">
        <is>
          <t>No</t>
        </is>
      </c>
      <c r="J33" t="inlineStr"/>
      <c r="K33" s="2">
        <f>IF(LOWER(TRIM(J33))=LOWER(TRIM(I33)),1,0)</f>
        <v/>
      </c>
      <c r="L33" s="2">
        <f>IF(AND(LOWER(TRIM(E33))="hallucination",LOWER(TRIM(I33))="no",LOWER(TRIM(J33))="yes"),1,0)</f>
        <v/>
      </c>
      <c r="M33" t="inlineStr"/>
      <c r="N33" t="inlineStr">
        <is>
          <t>There is no mention of the user having a meeting at the office in the provided data.</t>
        </is>
      </c>
    </row>
    <row r="34">
      <c r="A34" t="inlineStr">
        <is>
          <t>dataset_20260312_123350.json</t>
        </is>
      </c>
      <c r="B34" t="n">
        <v>5</v>
      </c>
      <c r="C34" t="inlineStr">
        <is>
          <t>Q1</t>
        </is>
      </c>
      <c r="D34" t="inlineStr">
        <is>
          <t>S5_Q1</t>
        </is>
      </c>
      <c r="E34" t="inlineStr">
        <is>
          <t>temporal</t>
        </is>
      </c>
      <c r="F34" t="inlineStr">
        <is>
          <t>exact</t>
        </is>
      </c>
      <c r="G34" t="inlineStr">
        <is>
          <t>What time did the user start making breakfast?</t>
        </is>
      </c>
      <c r="H34" t="inlineStr"/>
      <c r="I34" t="inlineStr">
        <is>
          <t>08:00:00</t>
        </is>
      </c>
      <c r="J34" t="inlineStr"/>
      <c r="K34" s="2">
        <f>IF(LOWER(TRIM(J34))=LOWER(TRIM(I34)),1,0)</f>
        <v/>
      </c>
      <c r="L34" s="2">
        <f>IF(AND(LOWER(TRIM(E34))="hallucination",LOWER(TRIM(I34))="no",LOWER(TRIM(J34))="yes"),1,0)</f>
        <v/>
      </c>
      <c r="M34" t="inlineStr"/>
      <c r="N34" t="inlineStr">
        <is>
          <t>The user's smartwatch data starts at 08:00:00, and the dialogue mentions making breakfast around this time.</t>
        </is>
      </c>
    </row>
    <row r="35">
      <c r="A35" t="inlineStr">
        <is>
          <t>dataset_20260312_123350.json</t>
        </is>
      </c>
      <c r="B35" t="n">
        <v>5</v>
      </c>
      <c r="C35" t="inlineStr">
        <is>
          <t>Q2</t>
        </is>
      </c>
      <c r="D35" t="inlineStr">
        <is>
          <t>S5_Q2</t>
        </is>
      </c>
      <c r="E35" t="inlineStr">
        <is>
          <t>temporal</t>
        </is>
      </c>
      <c r="F35" t="inlineStr">
        <is>
          <t>binary</t>
        </is>
      </c>
      <c r="G35" t="inlineStr">
        <is>
          <t>Did the user have a conversation with Rachel before 08:15:00?</t>
        </is>
      </c>
      <c r="H35" t="inlineStr"/>
      <c r="I35" t="inlineStr">
        <is>
          <t>Yes</t>
        </is>
      </c>
      <c r="J35" t="inlineStr"/>
      <c r="K35" s="2">
        <f>IF(LOWER(TRIM(J35))=LOWER(TRIM(I35)),1,0)</f>
        <v/>
      </c>
      <c r="L35" s="2">
        <f>IF(AND(LOWER(TRIM(E35))="hallucination",LOWER(TRIM(I35))="no",LOWER(TRIM(J35))="yes"),1,0)</f>
        <v/>
      </c>
      <c r="M35" t="inlineStr"/>
      <c r="N35" t="inlineStr">
        <is>
          <t>The user sent a message to Rachel at 08:11, which is before 08:15:00.</t>
        </is>
      </c>
    </row>
    <row r="36">
      <c r="A36" t="inlineStr">
        <is>
          <t>dataset_20260312_123350.json</t>
        </is>
      </c>
      <c r="B36" t="n">
        <v>5</v>
      </c>
      <c r="C36" t="inlineStr">
        <is>
          <t>Q3</t>
        </is>
      </c>
      <c r="D36" t="inlineStr">
        <is>
          <t>S5_Q3</t>
        </is>
      </c>
      <c r="E36" t="inlineStr">
        <is>
          <t>cross_modal</t>
        </is>
      </c>
      <c r="F36" t="inlineStr">
        <is>
          <t>multiple_choice</t>
        </is>
      </c>
      <c r="G36" t="inlineStr">
        <is>
          <t>What was the user doing while having a conversation with Rachel?</t>
        </is>
      </c>
      <c r="H36" t="inlineStr">
        <is>
          <t>{"A": "Making breakfast", "B": "Watching TV", "C": "Working out", "D": "Reading a book"}</t>
        </is>
      </c>
      <c r="I36" t="inlineStr">
        <is>
          <t>A</t>
        </is>
      </c>
      <c r="J36" t="inlineStr"/>
      <c r="K36" s="2">
        <f>IF(LOWER(TRIM(J36))=LOWER(TRIM(I36)),1,0)</f>
        <v/>
      </c>
      <c r="L36" s="2">
        <f>IF(AND(LOWER(TRIM(E36))="hallucination",LOWER(TRIM(I36))="no",LOWER(TRIM(J36))="yes"),1,0)</f>
        <v/>
      </c>
      <c r="M36" t="inlineStr"/>
      <c r="N36" t="inlineStr">
        <is>
          <t>The dialogue mentions the user making breakfast while on a call with Rachel.</t>
        </is>
      </c>
    </row>
    <row r="37">
      <c r="A37" t="inlineStr">
        <is>
          <t>dataset_20260312_123350.json</t>
        </is>
      </c>
      <c r="B37" t="n">
        <v>5</v>
      </c>
      <c r="C37" t="inlineStr">
        <is>
          <t>Q4</t>
        </is>
      </c>
      <c r="D37" t="inlineStr">
        <is>
          <t>S5_Q4</t>
        </is>
      </c>
      <c r="E37" t="inlineStr">
        <is>
          <t>cross_modal</t>
        </is>
      </c>
      <c r="F37" t="inlineStr">
        <is>
          <t>multiple_choice</t>
        </is>
      </c>
      <c r="G37" t="inlineStr">
        <is>
          <t>What was the user's heart rate during the conversation with Rachel?</t>
        </is>
      </c>
      <c r="H37" t="inlineStr">
        <is>
          <t>{"A": "70 bpm", "B": "80 bpm", "C": "90 bpm", "D": "100 bpm"}</t>
        </is>
      </c>
      <c r="I37" t="inlineStr">
        <is>
          <t>A</t>
        </is>
      </c>
      <c r="J37" t="inlineStr"/>
      <c r="K37" s="2">
        <f>IF(LOWER(TRIM(J37))=LOWER(TRIM(I37)),1,0)</f>
        <v/>
      </c>
      <c r="L37" s="2">
        <f>IF(AND(LOWER(TRIM(E37))="hallucination",LOWER(TRIM(I37))="no",LOWER(TRIM(J37))="yes"),1,0)</f>
        <v/>
      </c>
      <c r="M37" t="inlineStr"/>
      <c r="N37" t="inlineStr">
        <is>
          <t>The user's smartwatch data shows a heart rate of 70 bpm at 08:00:00, which is around the time of the conversation with Rachel.</t>
        </is>
      </c>
    </row>
    <row r="38">
      <c r="A38" t="inlineStr">
        <is>
          <t>dataset_20260312_123350.json</t>
        </is>
      </c>
      <c r="B38" t="n">
        <v>5</v>
      </c>
      <c r="C38" t="inlineStr">
        <is>
          <t>Q5</t>
        </is>
      </c>
      <c r="D38" t="inlineStr">
        <is>
          <t>S5_Q5</t>
        </is>
      </c>
      <c r="E38" t="inlineStr">
        <is>
          <t>cross_modal</t>
        </is>
      </c>
      <c r="F38" t="inlineStr">
        <is>
          <t>multiple_choice</t>
        </is>
      </c>
      <c r="G38" t="inlineStr">
        <is>
          <t>What was the user planning to do after making breakfast?</t>
        </is>
      </c>
      <c r="H38" t="inlineStr">
        <is>
          <t>{"A": "Go to the PTA bake sale", "B": "Watch a movie", "C": "Play sports", "D": "Take a nap"}</t>
        </is>
      </c>
      <c r="I38" t="inlineStr">
        <is>
          <t>A</t>
        </is>
      </c>
      <c r="J38" t="inlineStr"/>
      <c r="K38" s="2">
        <f>IF(LOWER(TRIM(J38))=LOWER(TRIM(I38)),1,0)</f>
        <v/>
      </c>
      <c r="L38" s="2">
        <f>IF(AND(LOWER(TRIM(E38))="hallucination",LOWER(TRIM(I38))="no",LOWER(TRIM(J38))="yes"),1,0)</f>
        <v/>
      </c>
      <c r="M38" t="inlineStr"/>
      <c r="N38" t="inlineStr">
        <is>
          <t>The dialogue mentions the user planning to go to the PTA bake sale after breakfast.</t>
        </is>
      </c>
    </row>
    <row r="39">
      <c r="A39" t="inlineStr">
        <is>
          <t>dataset_20260312_123350.json</t>
        </is>
      </c>
      <c r="B39" t="n">
        <v>5</v>
      </c>
      <c r="C39" t="inlineStr">
        <is>
          <t>Q6</t>
        </is>
      </c>
      <c r="D39" t="inlineStr">
        <is>
          <t>S5_Q6</t>
        </is>
      </c>
      <c r="E39" t="inlineStr">
        <is>
          <t>deduplication</t>
        </is>
      </c>
      <c r="F39" t="inlineStr">
        <is>
          <t>exact</t>
        </is>
      </c>
      <c r="G39" t="inlineStr">
        <is>
          <t>How many unique events of making breakfast are mentioned?</t>
        </is>
      </c>
      <c r="H39" t="inlineStr"/>
      <c r="I39" t="inlineStr">
        <is>
          <t>1</t>
        </is>
      </c>
      <c r="J39" t="inlineStr"/>
      <c r="K39" s="2">
        <f>IF(LOWER(TRIM(J39))=LOWER(TRIM(I39)),1,0)</f>
        <v/>
      </c>
      <c r="L39" s="2">
        <f>IF(AND(LOWER(TRIM(E39))="hallucination",LOWER(TRIM(I39))="no",LOWER(TRIM(J39))="yes"),1,0)</f>
        <v/>
      </c>
      <c r="M39" t="inlineStr"/>
      <c r="N39" t="inlineStr">
        <is>
          <t>The dialogue only mentions making breakfast once.</t>
        </is>
      </c>
    </row>
    <row r="40">
      <c r="A40" t="inlineStr">
        <is>
          <t>dataset_20260312_123350.json</t>
        </is>
      </c>
      <c r="B40" t="n">
        <v>5</v>
      </c>
      <c r="C40" t="inlineStr">
        <is>
          <t>Q7</t>
        </is>
      </c>
      <c r="D40" t="inlineStr">
        <is>
          <t>S5_Q7</t>
        </is>
      </c>
      <c r="E40" t="inlineStr">
        <is>
          <t>hallucination</t>
        </is>
      </c>
      <c r="F40" t="inlineStr">
        <is>
          <t>binary</t>
        </is>
      </c>
      <c r="G40" t="inlineStr">
        <is>
          <t>Did the user go to the movies on Saturday?</t>
        </is>
      </c>
      <c r="H40" t="inlineStr"/>
      <c r="I40" t="inlineStr">
        <is>
          <t>No</t>
        </is>
      </c>
      <c r="J40" t="inlineStr"/>
      <c r="K40" s="2">
        <f>IF(LOWER(TRIM(J40))=LOWER(TRIM(I40)),1,0)</f>
        <v/>
      </c>
      <c r="L40" s="2">
        <f>IF(AND(LOWER(TRIM(E40))="hallucination",LOWER(TRIM(I40))="no",LOWER(TRIM(J40))="yes"),1,0)</f>
        <v/>
      </c>
      <c r="M40" t="inlineStr"/>
      <c r="N40" t="inlineStr">
        <is>
          <t>There is no mention of the user going to the movies on Saturday in the provided data.</t>
        </is>
      </c>
    </row>
    <row r="41">
      <c r="A41" t="inlineStr">
        <is>
          <t>dataset_20260312_123350.json</t>
        </is>
      </c>
      <c r="B41" t="n">
        <v>5</v>
      </c>
      <c r="C41" t="inlineStr">
        <is>
          <t>Q8</t>
        </is>
      </c>
      <c r="D41" t="inlineStr">
        <is>
          <t>S5_Q8</t>
        </is>
      </c>
      <c r="E41" t="inlineStr">
        <is>
          <t>hallucination</t>
        </is>
      </c>
      <c r="F41" t="inlineStr">
        <is>
          <t>binary</t>
        </is>
      </c>
      <c r="G41" t="inlineStr">
        <is>
          <t>Did the user attend a concert on Sunday?</t>
        </is>
      </c>
      <c r="H41" t="inlineStr"/>
      <c r="I41" t="inlineStr">
        <is>
          <t>No</t>
        </is>
      </c>
      <c r="J41" t="inlineStr"/>
      <c r="K41" s="2">
        <f>IF(LOWER(TRIM(J41))=LOWER(TRIM(I41)),1,0)</f>
        <v/>
      </c>
      <c r="L41" s="2">
        <f>IF(AND(LOWER(TRIM(E41))="hallucination",LOWER(TRIM(I41))="no",LOWER(TRIM(J41))="yes"),1,0)</f>
        <v/>
      </c>
      <c r="M41" t="inlineStr"/>
      <c r="N41" t="inlineStr">
        <is>
          <t>There is no mention of the user attending a concert on Sunday in the provided data.</t>
        </is>
      </c>
    </row>
  </sheetData>
  <autoFilter ref="A1:N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#Queries</t>
        </is>
      </c>
      <c r="B2">
        <f>ROWS(Queries!A2:A41)</f>
        <v/>
      </c>
    </row>
    <row r="3">
      <c r="A3" t="inlineStr">
        <is>
          <t>Overall Accuracy</t>
        </is>
      </c>
      <c r="B3">
        <f>AVERAGE(Queries!K2:K41)</f>
        <v/>
      </c>
    </row>
    <row r="4">
      <c r="A4" t="inlineStr">
        <is>
          <t>Hallucination FPR</t>
        </is>
      </c>
      <c r="B4">
        <f>IF(COUNTIF(Queries!E2:E41,"hallucination")=0,0,SUM(Queries!L2:L41)/COUNTIF(Queries!E2:E41,"hallucination"))</f>
        <v/>
      </c>
    </row>
    <row r="5">
      <c r="A5" t="inlineStr">
        <is>
          <t>Triples (manual)</t>
        </is>
      </c>
      <c r="B5" t="inlineStr"/>
    </row>
    <row r="6">
      <c r="A6" t="inlineStr">
        <is>
          <t>Accuracy Temporal</t>
        </is>
      </c>
      <c r="B6">
        <f>IF(COUNTIF(Queries!E2:E41,"temporal")=0,"",AVERAGEIF(Queries!E2:E41,"temporal",Queries!K2:K41))</f>
        <v/>
      </c>
    </row>
    <row r="7">
      <c r="A7" t="inlineStr">
        <is>
          <t>Accuracy Cross-modal</t>
        </is>
      </c>
      <c r="B7">
        <f>IF(COUNTIF(Queries!E2:E41,"cross_modal")=0,"",AVERAGEIF(Queries!E2:E41,"cross_modal",Queries!K2:K41))</f>
        <v/>
      </c>
    </row>
    <row r="8">
      <c r="A8" t="inlineStr">
        <is>
          <t>Accuracy Deduplication</t>
        </is>
      </c>
      <c r="B8">
        <f>IF(COUNTIF(Queries!E2:E41,"deduplication")=0,"",AVERAGEIF(Queries!E2:E41,"deduplication",Queries!K2:K41))</f>
        <v/>
      </c>
    </row>
    <row r="9">
      <c r="A9" t="inlineStr">
        <is>
          <t>Accuracy Hallucination</t>
        </is>
      </c>
      <c r="B9">
        <f>IF(COUNTIF(Queries!E2:E41,"hallucination")=0,"",AVERAGEIF(Queries!E2:E41,"hallucination",Queries!K2:K41))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2026-03-12T11:37:06Z</dcterms:created>
  <dcterms:modified xsi:type="dcterms:W3CDTF">2026-03-12T11:37:06Z</dcterms:modified>
</cp:coreProperties>
</file>