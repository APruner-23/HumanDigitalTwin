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E:\Università - Borsa di Ricerca\HDT Framework Repo\HumanDigitalTwin\token_metrics\carlos_2\delta_mode_1\"/>
    </mc:Choice>
  </mc:AlternateContent>
  <xr:revisionPtr revIDLastSave="0" documentId="13_ncr:1_{A5437F39-551B-4B1E-9C5E-4E19686F150D}" xr6:coauthVersionLast="47" xr6:coauthVersionMax="47" xr10:uidLastSave="{00000000-0000-0000-0000-000000000000}"/>
  <bookViews>
    <workbookView xWindow="10718" yWindow="0" windowWidth="10965" windowHeight="13583" activeTab="1" xr2:uid="{00000000-000D-0000-FFFF-FFFF00000000}"/>
  </bookViews>
  <sheets>
    <sheet name="Queries" sheetId="1" r:id="rId1"/>
    <sheet name="Summary" sheetId="2" r:id="rId2"/>
  </sheets>
  <definedNames>
    <definedName name="_xlnm._FilterDatabase" localSheetId="0" hidden="1">Queries!$A$1:$N$41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10" i="2" a="1"/>
  <c r="B10" i="2" s="1"/>
  <c r="B2" i="2" l="1"/>
  <c r="K41" i="1"/>
  <c r="K40" i="1"/>
  <c r="K39" i="1"/>
  <c r="K38" i="1"/>
  <c r="K37" i="1"/>
  <c r="K36" i="1"/>
  <c r="K35" i="1"/>
  <c r="K34" i="1"/>
  <c r="K33" i="1"/>
  <c r="K32" i="1"/>
  <c r="K31" i="1"/>
  <c r="B8" i="2" s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B9" i="2" s="1"/>
  <c r="K7" i="1"/>
  <c r="K6" i="1"/>
  <c r="K5" i="1"/>
  <c r="K4" i="1"/>
  <c r="K3" i="1"/>
  <c r="K2" i="1"/>
  <c r="B6" i="2" l="1"/>
  <c r="B7" i="2"/>
  <c r="B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<sst xmlns="http://schemas.openxmlformats.org/spreadsheetml/2006/main" count="393" uniqueCount="189">
  <si>
    <t>dataset</t>
  </si>
  <si>
    <t>scene_id</t>
  </si>
  <si>
    <t>qid</t>
  </si>
  <si>
    <t>global_id</t>
  </si>
  <si>
    <t>category</t>
  </si>
  <si>
    <t>type</t>
  </si>
  <si>
    <t>question</t>
  </si>
  <si>
    <t>options_json</t>
  </si>
  <si>
    <t>gt_answer</t>
  </si>
  <si>
    <t>model_answer</t>
  </si>
  <si>
    <t>is_correct</t>
  </si>
  <si>
    <t>is_false_positive</t>
  </si>
  <si>
    <t>notes</t>
  </si>
  <si>
    <t>rationale</t>
  </si>
  <si>
    <t>dataset_20260312_122723.json</t>
  </si>
  <si>
    <t>Q1</t>
  </si>
  <si>
    <t>S1_Q1</t>
  </si>
  <si>
    <t>temporal</t>
  </si>
  <si>
    <t>exact</t>
  </si>
  <si>
    <t>What time did the user get up?</t>
  </si>
  <si>
    <t>11:00:00</t>
  </si>
  <si>
    <t>The user mentioned 'Okay it's 11 AM already. Time to get up.' and the smartwatch data shows the first entry at 11:00:00.</t>
  </si>
  <si>
    <t>Q2</t>
  </si>
  <si>
    <t>S1_Q2</t>
  </si>
  <si>
    <t>binary</t>
  </si>
  <si>
    <t>Did the user start making lunch before 11:30?</t>
  </si>
  <si>
    <t>No</t>
  </si>
  <si>
    <t>The dialogue mentions 'I'll start making lunch.' at 11:06, which is after 11:00 but the calendar event 'Lunch with Wife' starts at 11:30, and there's no earlier mention of lunch preparation.</t>
  </si>
  <si>
    <t>Q3</t>
  </si>
  <si>
    <t>S1_Q3</t>
  </si>
  <si>
    <t>cross_modal</t>
  </si>
  <si>
    <t>multiple_choice</t>
  </si>
  <si>
    <t>How was the user feeling at 11:02 according to the dialogue and smartwatch data?</t>
  </si>
  <si>
    <t>{"A": "Tired", "B": "Energetic", "C": "Hungry", "D": "Relaxed"}</t>
  </si>
  <si>
    <t>A</t>
  </si>
  <si>
    <t>The user mentioned 'I'm feeling alright a bit tired as usual' at 11:02, and the smartwatch data shows a heart rate of 65 at 11:15, which is within a normal range but the user's dialogue explicitly mentions tiredness.</t>
  </si>
  <si>
    <t>Q4</t>
  </si>
  <si>
    <t>S1_Q4</t>
  </si>
  <si>
    <t>What activity did the user plan to do after lunch according to the dialogue?</t>
  </si>
  <si>
    <t>{"A": "Go to the gym", "B": "Take a walk in the park", "C": "Watch a movie", "D": "Play video games"}</t>
  </si>
  <si>
    <t>B</t>
  </si>
  <si>
    <t>The user mentioned 'You know I've been thinking we should take a walk in the park after lunch.' which directly supports option B.</t>
  </si>
  <si>
    <t>Q5</t>
  </si>
  <si>
    <t>S1_Q5</t>
  </si>
  <si>
    <t>What was the user planning to make for lunch?</t>
  </si>
  <si>
    <t>{"A": "Salad", "B": "Pasta", "C": "Pizza", "D": "Burger"}</t>
  </si>
  <si>
    <t>The dialogue mentions 'What do you think about making some pasta?' and the response 'Mmm that sounds amazing.' which directly supports option B.</t>
  </si>
  <si>
    <t>Q6</t>
  </si>
  <si>
    <t>S1_Q6</t>
  </si>
  <si>
    <t>deduplication</t>
  </si>
  <si>
    <t>How many unique events of walking are mentioned?</t>
  </si>
  <si>
    <t>1</t>
  </si>
  <si>
    <t>Only one event of walking in the park is mentioned in the dialogue and calendar.</t>
  </si>
  <si>
    <t>Q7</t>
  </si>
  <si>
    <t>S1_Q7</t>
  </si>
  <si>
    <t>hallucination</t>
  </si>
  <si>
    <t>Did the user go to the beach?</t>
  </si>
  <si>
    <t>There is no mention of going to the beach in the dialogue, calendar events, or sensor data.</t>
  </si>
  <si>
    <t>Q8</t>
  </si>
  <si>
    <t>S1_Q8</t>
  </si>
  <si>
    <t>Did the user attend a meeting at work?</t>
  </si>
  <si>
    <t>There is no mention of attending a meeting at work in the dialogue, calendar events, or sensor data.</t>
  </si>
  <si>
    <t>S2_Q1</t>
  </si>
  <si>
    <t>What time did Marco arrive?</t>
  </si>
  <si>
    <t>18:00:00</t>
  </si>
  <si>
    <t>Marco's arrival is mentioned in the dialogue as 'Okay he's here now.' The smartwatch data shows increased activity at 18:00:00, indicating Marco's arrival.</t>
  </si>
  <si>
    <t>S2_Q2</t>
  </si>
  <si>
    <t>Did Marco arrive before 18:05:00?</t>
  </si>
  <si>
    <t>Yes</t>
  </si>
  <si>
    <t>The GPS data shows a change in location at 18:05:00, and the dialogue mentions Marco's arrival at 18:00:00, indicating he arrived before 18:05:00.</t>
  </si>
  <si>
    <t>S2_Q3</t>
  </si>
  <si>
    <t>What was the user's concern about Marco according to the dialogue and smartphone data?</t>
  </si>
  <si>
    <t>{"A": "Marco was not responding to messages", "B": "Marco was running late", "C": "Marco was not wearing his smartwatch", "D": "Marco forgot the recipe"}</t>
  </si>
  <si>
    <t>The dialogue explicitly mentions 'My sous chef Marco is running late again.' This concern is also reflected in a WhatsApp message sent at 17:05.</t>
  </si>
  <si>
    <t>S2_Q4</t>
  </si>
  <si>
    <t>What task did the user assign to Marco according to the dialogue?</t>
  </si>
  <si>
    <t>{"A": "Prepare the dessert", "B": "Plate the risottos and set the pasta station", "C": "Check the orders", "D": "Clean the kitchen"}</t>
  </si>
  <si>
    <t>The dialogue mentions 'Alright so we need to plate those risottos. And make sure the pasta station is set.' Marco responds with 'Got it I'll get on it.'</t>
  </si>
  <si>
    <t>S2_Q5</t>
  </si>
  <si>
    <t>How did the user plan to manage the workload according to the dialogue?</t>
  </si>
  <si>
    <t>{"A": "By working alone", "B": "By delegating tasks to Marco and checking on orders", "C": "By postponing some tasks", "D": "By calling for extra staff"}</t>
  </si>
  <si>
    <t>The dialogue shows the user assigning tasks to Marco and also mentioning 'I'm gonna go check on the orders.'</t>
  </si>
  <si>
    <t>S2_Q6</t>
  </si>
  <si>
    <t>How many unique events of checking on orders were mentioned?</t>
  </si>
  <si>
    <t>The dialogue only mentions one instance of checking on orders: 'I'm gonna go check on the orders.'</t>
  </si>
  <si>
    <t>S2_Q7</t>
  </si>
  <si>
    <t>Did the user attend a meeting with a supplier?</t>
  </si>
  <si>
    <t>There is no mention of a meeting with a supplier in the provided data.</t>
  </si>
  <si>
    <t>S2_Q8</t>
  </si>
  <si>
    <t>Did Marco participate in a tasting event?</t>
  </si>
  <si>
    <t>There is no mention of Marco participating in a tasting event in the provided data.</t>
  </si>
  <si>
    <t>S3_Q1</t>
  </si>
  <si>
    <t>What time did the user finish closing up shop?</t>
  </si>
  <si>
    <t>11:00 PM</t>
  </si>
  <si>
    <t>The user mentioned 'I'm closing up shop around 11 PM' in the dialogue.</t>
  </si>
  <si>
    <t>S3_Q2</t>
  </si>
  <si>
    <t>Did the user finish closing up shop before 11:00 PM?</t>
  </si>
  <si>
    <t>The user mentioned 'I'm closing up shop around 11 PM', which implies it happened around or after 11 PM.</t>
  </si>
  <si>
    <t>S3_Q3</t>
  </si>
  <si>
    <t>What was the user's state when mentioning tiredness?</t>
  </si>
  <si>
    <t>{"A": "High heart rate (85 bpm) and 200 steps", "B": "Low heart rate (60 bpm) and 1000 steps", "C": "Normal heart rate (80 bpm) and 500 steps", "D": "Exhausted with 120 bpm and 0 steps"}</t>
  </si>
  <si>
    <t>The user mentioned 'I'm exhausted' and the smartwatch data shows a heart rate of 85 bpm and 200 steps at 22:50:00.</t>
  </si>
  <si>
    <t>S3_Q4</t>
  </si>
  <si>
    <t>What activity was the user doing when their wife sent the message about new menu ideas?</t>
  </si>
  <si>
    <t>{"A": "Closing up shop with a heart rate of 85 bpm", "B": "Walking with 1000 steps and 120 bpm", "C": "Reviewing menu ideas with a heart rate of 80 bpm", "D": "Relaxing with 0 steps and 60 bpm"}</t>
  </si>
  <si>
    <t>The wife sent the message at 22:49 and the user mentioned 'I'm closing up shop around 11 PM' with smartwatch data showing 85 bpm at 22:50:00.</t>
  </si>
  <si>
    <t>S3_Q5</t>
  </si>
  <si>
    <t>What was the user's response to their wife's suggestion to take it easy?</t>
  </si>
  <si>
    <t>{"A": "I'm going to take it easy", "B": "Yeah right like that's gonna happen", "C": "I need to rest", "D": "I'm too tired"}</t>
  </si>
  <si>
    <t>The user responded with 'Yeah right like that's gonna happen' to their wife's suggestion to take it easy.</t>
  </si>
  <si>
    <t>S3_Q6</t>
  </si>
  <si>
    <t>How many unique events of reviewing menu ideas are mentioned?</t>
  </si>
  <si>
    <t>The user and their wife mentioned reviewing new menu ideas only once.</t>
  </si>
  <si>
    <t>S3_Q7</t>
  </si>
  <si>
    <t>Did the user attend a meeting at the office?</t>
  </si>
  <si>
    <t>There is no mention of attending a meeting at the office in the provided data.</t>
  </si>
  <si>
    <t>S3_Q8</t>
  </si>
  <si>
    <t>There is no mention of going to the beach in the provided data.</t>
  </si>
  <si>
    <t>S4_Q1</t>
  </si>
  <si>
    <t>What time did the user head to the wholesale market?</t>
  </si>
  <si>
    <t>06:00:00</t>
  </si>
  <si>
    <t>The user mentioned 'Okay it's 6 AM. Time to get moving. I'm heading to the wholesale market.' and the calendar event 'Wholesale Market Run' started at 06:00.</t>
  </si>
  <si>
    <t>S4_Q2</t>
  </si>
  <si>
    <t>Did the user send a message to Sal before 06:15?</t>
  </si>
  <si>
    <t>The user sent a message to Sal at 06:10 and another at 06:15, so they definitely sent a message before 06:15.</t>
  </si>
  <si>
    <t>S4_Q3</t>
  </si>
  <si>
    <t>What was the user looking for at the wholesale market according to their conversation with Sal?</t>
  </si>
  <si>
    <t>{"A": "Good tomatoes and basil", "B": "Fresh flowers", "C": "Local honey", "D": "Artisanal cheeses"}</t>
  </si>
  <si>
    <t>The user explicitly mentioned 'I'm looking for some good tomatoes and basil.' in their conversation with Sal.</t>
  </si>
  <si>
    <t>S4_Q4</t>
  </si>
  <si>
    <t>How did Sal describe the tomatoes he showed the user?</t>
  </si>
  <si>
    <t>{"A": "From local farms, perfect for sauces", "B": "Organic, but not suitable for sauces", "C": "Imported, but great for salads", "D": "Heirloom, but expensive"}</t>
  </si>
  <si>
    <t>Sal mentioned 'These tomatoes are from local farms. Perfect for your sauces.' in their conversation.</t>
  </si>
  <si>
    <t>S4_Q5</t>
  </si>
  <si>
    <t>What was the user's heart rate when they were active and walking to the market?</t>
  </si>
  <si>
    <t>{"A": "80 bpm", "B": "60 bpm", "C": "100 bpm", "D": "120 bpm"}</t>
  </si>
  <si>
    <t>The user's heart rate was 80 bpm at 06:10:00 according to the smartwatch data, which aligns with their active walking to the market.</t>
  </si>
  <si>
    <t>S4_Q6</t>
  </si>
  <si>
    <t>How many unique messages did the user send to Sal?</t>
  </si>
  <si>
    <t>3</t>
  </si>
  <si>
    <t>The user sent three unique messages to Sal: 'Hey Sal, how's it going?', 'I'm looking for some good tomatoes and basil.', and 'Grazie mille Sal, you're a lifesaver. I'll take a few crates of those.'</t>
  </si>
  <si>
    <t>S4_Q7</t>
  </si>
  <si>
    <t>Did the user go to the bank before heading to the wholesale market?</t>
  </si>
  <si>
    <t>There is no mention or data indicating the user went to the bank before heading to the wholesale market.</t>
  </si>
  <si>
    <t>S4_Q8</t>
  </si>
  <si>
    <t>Did the user meet a friend named Alex at the market?</t>
  </si>
  <si>
    <t>There is no mention or data indicating the user met a friend named Alex at the market.</t>
  </si>
  <si>
    <t>S5_Q1</t>
  </si>
  <si>
    <t>What time did the user receive a message from their wife about Sophia's birthday dinner?</t>
  </si>
  <si>
    <t>14:05</t>
  </si>
  <si>
    <t>The message from Maria (wife) was received at 14:05 according to the Messages section of the data.</t>
  </si>
  <si>
    <t>S5_Q2</t>
  </si>
  <si>
    <t>Did the user discuss Sophia's birthday menu with Sophia before 14:30?</t>
  </si>
  <si>
    <t>The calendar event 'Discuss Sophia's Birthday Menu with Sophia' is scheduled from 14:30, indicating the discussion happened at or after this time.</t>
  </si>
  <si>
    <t>S5_Q3</t>
  </si>
  <si>
    <t>What was the user thinking about according to their dialogue and what activity were they engaged in based on smartwatch data?</t>
  </si>
  <si>
    <t>{"A": "Thinking about dinner and had a heart rate of 75 bpm", "B": "Thinking about work and had a heart rate of 80 bpm", "C": "Thinking about exercise and had a heart rate of 120 bpm", "D": "Thinking about sleep and had a heart rate of 60 bpm"}</t>
  </si>
  <si>
    <t>The user mentioned thinking about dinner for Sophia's birthday and the smartwatch data at 14:00:00 shows a heart rate of 75 bpm.</t>
  </si>
  <si>
    <t>S5_Q4</t>
  </si>
  <si>
    <t>What did the user suggest making for Sophia's birthday dinner according to their dialogue?</t>
  </si>
  <si>
    <t>{"A": "Lasagna and her favorite desserts", "B": "Pizza and a cake", "C": "Salad and ice cream", "D": "Burgers and fries"}</t>
  </si>
  <si>
    <t>The user explicitly mentioned 'I was thinking we could do the lasagna and some of her favorite desserts.'</t>
  </si>
  <si>
    <t>S5_Q5</t>
  </si>
  <si>
    <t>Where was the user located when they received the message about Sophia's birthday dinner, based on GPS data?</t>
  </si>
  <si>
    <t>{"A": "At home (latitude: 37.7749, longitude: -122.4194)", "B": "At the office (latitude: 37.7751, longitude: -122.4192)", "C": "In a park (latitude: 37.7760, longitude: -122.4200)", "D": "At a restaurant (latitude: 37.7770, longitude: -122.4210)"}</t>
  </si>
  <si>
    <t>The GPS data at 14:00:00 shows the user was at latitude: 37.7749, longitude: -122.4194, which matches the location described as 'back office'.</t>
  </si>
  <si>
    <t>S5_Q6</t>
  </si>
  <si>
    <t>How many unique birthday dinners for Sophia are mentioned?</t>
  </si>
  <si>
    <t>Only one birthday dinner for Sophia is mentioned across all data sources.</t>
  </si>
  <si>
    <t>S5_Q7</t>
  </si>
  <si>
    <t>Did the user go to a concert?</t>
  </si>
  <si>
    <t>There is no mention of a concert in any of the provided data sources.</t>
  </si>
  <si>
    <t>S5_Q8</t>
  </si>
  <si>
    <t>Did the user attend a meeting at the gym?</t>
  </si>
  <si>
    <t>There is no mention of a meeting at the gym in any of the provided data sources.</t>
  </si>
  <si>
    <t>Metric</t>
  </si>
  <si>
    <t>Value</t>
  </si>
  <si>
    <t>#Queries</t>
  </si>
  <si>
    <t>Overall Accuracy</t>
  </si>
  <si>
    <t>Triples (manual)</t>
  </si>
  <si>
    <t>Accuracy Temporal</t>
  </si>
  <si>
    <t>Accuracy Cross-modal</t>
  </si>
  <si>
    <t>Accuracy Deduplication</t>
  </si>
  <si>
    <t>Accuracy Hallucination</t>
  </si>
  <si>
    <t>Delta mode</t>
  </si>
  <si>
    <t>Accuracy Completeness</t>
  </si>
  <si>
    <t>D</t>
  </si>
  <si>
    <t>FPR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</si>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</sst>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0" xfId="0" applyAlignment="1">
      <alignment horizontal="center" vertical="center"/>
    </xf>
    <xf numFmtId="10" fontId="0" fillId="0" borderId="0" xfId="0" applyNumberFormat="1"/>
    <xf numFmtId="21" fontId="0" fillId="0" borderId="0" xfId="0" applyNumberFormat="1"/>
    <xf numFmtId="18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topLeftCell="G1" workbookViewId="0">
      <pane ySplit="1" topLeftCell="A24" activePane="bottomLeft" state="frozen"/>
      <selection pane="bottomLeft" activeCell="J36" sqref="J36"/>
    </sheetView>
  </sheetViews>
  <sheetFormatPr defaultRowHeight="14.25" x14ac:dyDescent="0.45"/>
  <cols>
    <col min="1" max="1" width="27.86328125" customWidth="1"/>
    <col min="2" max="2" width="2.6640625" customWidth="1"/>
    <col min="3" max="3" width="5.33203125" customWidth="1"/>
    <col min="4" max="4" width="8.86328125" customWidth="1"/>
    <col min="5" max="5" width="12.33203125" customWidth="1"/>
    <col min="6" max="6" width="15.9296875" customWidth="1"/>
    <col min="7" max="7" width="60" customWidth="1"/>
    <col min="8" max="8" width="31.33203125" customWidth="1"/>
    <col min="9" max="9" width="11" customWidth="1"/>
    <col min="10" max="10" width="12.1328125" customWidth="1"/>
    <col min="11" max="11" width="14" customWidth="1"/>
    <col min="12" max="12" width="13.59765625" customWidth="1"/>
    <col min="13" max="13" width="10" customWidth="1"/>
    <col min="14" max="14" width="60" customWidth="1"/>
  </cols>
  <sheetData>
    <row r="1" spans="1:14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45">
      <c r="A2" t="s">
        <v>14</v>
      </c>
      <c r="B2">
        <v>1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I2" t="s">
        <v>20</v>
      </c>
      <c r="J2" s="4">
        <v>0.25</v>
      </c>
      <c r="K2" s="2">
        <f t="shared" ref="K2:K41" si="0">IF(LOWER(TRIM(J2))=LOWER(TRIM(I2)),1,0)</f>
        <v>0</v>
      </c>
      <c r="L2" s="2">
        <v>1</v>
      </c>
      <c r="N2" t="s">
        <v>21</v>
      </c>
    </row>
    <row r="3" spans="1:14" x14ac:dyDescent="0.45">
      <c r="A3" t="s">
        <v>14</v>
      </c>
      <c r="B3">
        <v>1</v>
      </c>
      <c r="C3" t="s">
        <v>22</v>
      </c>
      <c r="D3" t="s">
        <v>23</v>
      </c>
      <c r="E3" t="s">
        <v>17</v>
      </c>
      <c r="F3" t="s">
        <v>24</v>
      </c>
      <c r="G3" t="s">
        <v>25</v>
      </c>
      <c r="I3" t="s">
        <v>26</v>
      </c>
      <c r="J3" t="s">
        <v>68</v>
      </c>
      <c r="K3" s="2">
        <f t="shared" si="0"/>
        <v>0</v>
      </c>
      <c r="L3" s="2">
        <v>1</v>
      </c>
      <c r="N3" t="s">
        <v>27</v>
      </c>
    </row>
    <row r="4" spans="1:14" x14ac:dyDescent="0.45">
      <c r="A4" t="s">
        <v>14</v>
      </c>
      <c r="B4">
        <v>1</v>
      </c>
      <c r="C4" t="s">
        <v>28</v>
      </c>
      <c r="D4" t="s">
        <v>29</v>
      </c>
      <c r="E4" t="s">
        <v>30</v>
      </c>
      <c r="F4" t="s">
        <v>31</v>
      </c>
      <c r="G4" t="s">
        <v>32</v>
      </c>
      <c r="H4" t="s">
        <v>33</v>
      </c>
      <c r="I4" t="s">
        <v>34</v>
      </c>
      <c r="J4" t="s">
        <v>34</v>
      </c>
      <c r="K4" s="2">
        <f t="shared" si="0"/>
        <v>1</v>
      </c>
      <c r="L4" s="2">
        <v>0</v>
      </c>
      <c r="N4" t="s">
        <v>35</v>
      </c>
    </row>
    <row r="5" spans="1:14" x14ac:dyDescent="0.45">
      <c r="A5" t="s">
        <v>14</v>
      </c>
      <c r="B5">
        <v>1</v>
      </c>
      <c r="C5" t="s">
        <v>36</v>
      </c>
      <c r="D5" t="s">
        <v>37</v>
      </c>
      <c r="E5" t="s">
        <v>30</v>
      </c>
      <c r="F5" t="s">
        <v>31</v>
      </c>
      <c r="G5" t="s">
        <v>38</v>
      </c>
      <c r="H5" t="s">
        <v>39</v>
      </c>
      <c r="I5" t="s">
        <v>40</v>
      </c>
      <c r="J5" t="s">
        <v>40</v>
      </c>
      <c r="K5" s="2">
        <f t="shared" si="0"/>
        <v>1</v>
      </c>
      <c r="L5" s="2">
        <v>0</v>
      </c>
      <c r="N5" t="s">
        <v>41</v>
      </c>
    </row>
    <row r="6" spans="1:14" x14ac:dyDescent="0.45">
      <c r="A6" t="s">
        <v>14</v>
      </c>
      <c r="B6">
        <v>1</v>
      </c>
      <c r="C6" t="s">
        <v>42</v>
      </c>
      <c r="D6" t="s">
        <v>43</v>
      </c>
      <c r="E6" t="s">
        <v>30</v>
      </c>
      <c r="F6" t="s">
        <v>31</v>
      </c>
      <c r="G6" t="s">
        <v>44</v>
      </c>
      <c r="H6" t="s">
        <v>45</v>
      </c>
      <c r="I6" t="s">
        <v>40</v>
      </c>
      <c r="J6" t="s">
        <v>40</v>
      </c>
      <c r="K6" s="2">
        <f t="shared" si="0"/>
        <v>1</v>
      </c>
      <c r="L6" s="2">
        <v>0</v>
      </c>
      <c r="N6" t="s">
        <v>46</v>
      </c>
    </row>
    <row r="7" spans="1:14" x14ac:dyDescent="0.45">
      <c r="A7" t="s">
        <v>14</v>
      </c>
      <c r="B7">
        <v>1</v>
      </c>
      <c r="C7" t="s">
        <v>47</v>
      </c>
      <c r="D7" t="s">
        <v>48</v>
      </c>
      <c r="E7" t="s">
        <v>49</v>
      </c>
      <c r="F7" t="s">
        <v>18</v>
      </c>
      <c r="G7" t="s">
        <v>50</v>
      </c>
      <c r="I7" t="s">
        <v>51</v>
      </c>
      <c r="J7">
        <v>0</v>
      </c>
      <c r="K7" s="2">
        <f t="shared" si="0"/>
        <v>0</v>
      </c>
      <c r="L7" s="2">
        <v>1</v>
      </c>
      <c r="N7" t="s">
        <v>52</v>
      </c>
    </row>
    <row r="8" spans="1:14" x14ac:dyDescent="0.45">
      <c r="A8" t="s">
        <v>14</v>
      </c>
      <c r="B8">
        <v>1</v>
      </c>
      <c r="C8" t="s">
        <v>53</v>
      </c>
      <c r="D8" t="s">
        <v>54</v>
      </c>
      <c r="E8" t="s">
        <v>55</v>
      </c>
      <c r="F8" t="s">
        <v>24</v>
      </c>
      <c r="G8" t="s">
        <v>56</v>
      </c>
      <c r="I8" t="s">
        <v>26</v>
      </c>
      <c r="J8" t="s">
        <v>26</v>
      </c>
      <c r="K8" s="2">
        <f t="shared" si="0"/>
        <v>1</v>
      </c>
      <c r="L8" s="2">
        <v>0</v>
      </c>
      <c r="N8" t="s">
        <v>57</v>
      </c>
    </row>
    <row r="9" spans="1:14" x14ac:dyDescent="0.45">
      <c r="A9" t="s">
        <v>14</v>
      </c>
      <c r="B9">
        <v>1</v>
      </c>
      <c r="C9" t="s">
        <v>58</v>
      </c>
      <c r="D9" t="s">
        <v>59</v>
      </c>
      <c r="E9" t="s">
        <v>55</v>
      </c>
      <c r="F9" t="s">
        <v>24</v>
      </c>
      <c r="G9" t="s">
        <v>60</v>
      </c>
      <c r="I9" t="s">
        <v>26</v>
      </c>
      <c r="J9" t="s">
        <v>26</v>
      </c>
      <c r="K9" s="2">
        <f t="shared" si="0"/>
        <v>1</v>
      </c>
      <c r="L9" s="2">
        <v>0</v>
      </c>
      <c r="N9" t="s">
        <v>61</v>
      </c>
    </row>
    <row r="10" spans="1:14" x14ac:dyDescent="0.45">
      <c r="A10" t="s">
        <v>14</v>
      </c>
      <c r="B10">
        <v>2</v>
      </c>
      <c r="C10" t="s">
        <v>15</v>
      </c>
      <c r="D10" t="s">
        <v>62</v>
      </c>
      <c r="E10" t="s">
        <v>17</v>
      </c>
      <c r="F10" t="s">
        <v>18</v>
      </c>
      <c r="G10" t="s">
        <v>63</v>
      </c>
      <c r="I10" t="s">
        <v>64</v>
      </c>
      <c r="J10" t="s">
        <v>64</v>
      </c>
      <c r="K10" s="2">
        <f t="shared" si="0"/>
        <v>1</v>
      </c>
      <c r="L10" s="2">
        <v>0</v>
      </c>
      <c r="N10" t="s">
        <v>65</v>
      </c>
    </row>
    <row r="11" spans="1:14" x14ac:dyDescent="0.45">
      <c r="A11" t="s">
        <v>14</v>
      </c>
      <c r="B11">
        <v>2</v>
      </c>
      <c r="C11" t="s">
        <v>22</v>
      </c>
      <c r="D11" t="s">
        <v>66</v>
      </c>
      <c r="E11" t="s">
        <v>17</v>
      </c>
      <c r="F11" t="s">
        <v>24</v>
      </c>
      <c r="G11" t="s">
        <v>67</v>
      </c>
      <c r="I11" t="s">
        <v>68</v>
      </c>
      <c r="J11" t="s">
        <v>68</v>
      </c>
      <c r="K11" s="2">
        <f t="shared" si="0"/>
        <v>1</v>
      </c>
      <c r="L11" s="2">
        <v>0</v>
      </c>
      <c r="N11" t="s">
        <v>69</v>
      </c>
    </row>
    <row r="12" spans="1:14" x14ac:dyDescent="0.45">
      <c r="A12" t="s">
        <v>14</v>
      </c>
      <c r="B12">
        <v>2</v>
      </c>
      <c r="C12" t="s">
        <v>28</v>
      </c>
      <c r="D12" t="s">
        <v>70</v>
      </c>
      <c r="E12" t="s">
        <v>30</v>
      </c>
      <c r="F12" t="s">
        <v>31</v>
      </c>
      <c r="G12" t="s">
        <v>71</v>
      </c>
      <c r="H12" t="s">
        <v>72</v>
      </c>
      <c r="I12" t="s">
        <v>40</v>
      </c>
      <c r="J12" t="s">
        <v>40</v>
      </c>
      <c r="K12" s="2">
        <f t="shared" si="0"/>
        <v>1</v>
      </c>
      <c r="L12" s="2">
        <v>0</v>
      </c>
      <c r="N12" t="s">
        <v>73</v>
      </c>
    </row>
    <row r="13" spans="1:14" x14ac:dyDescent="0.45">
      <c r="A13" t="s">
        <v>14</v>
      </c>
      <c r="B13">
        <v>2</v>
      </c>
      <c r="C13" t="s">
        <v>36</v>
      </c>
      <c r="D13" t="s">
        <v>74</v>
      </c>
      <c r="E13" t="s">
        <v>30</v>
      </c>
      <c r="F13" t="s">
        <v>31</v>
      </c>
      <c r="G13" t="s">
        <v>75</v>
      </c>
      <c r="H13" t="s">
        <v>76</v>
      </c>
      <c r="I13" t="s">
        <v>40</v>
      </c>
      <c r="J13" t="s">
        <v>40</v>
      </c>
      <c r="K13" s="2">
        <f t="shared" si="0"/>
        <v>1</v>
      </c>
      <c r="L13" s="2">
        <v>0</v>
      </c>
      <c r="N13" t="s">
        <v>77</v>
      </c>
    </row>
    <row r="14" spans="1:14" x14ac:dyDescent="0.45">
      <c r="A14" t="s">
        <v>14</v>
      </c>
      <c r="B14">
        <v>2</v>
      </c>
      <c r="C14" t="s">
        <v>42</v>
      </c>
      <c r="D14" t="s">
        <v>78</v>
      </c>
      <c r="E14" t="s">
        <v>30</v>
      </c>
      <c r="F14" t="s">
        <v>31</v>
      </c>
      <c r="G14" t="s">
        <v>79</v>
      </c>
      <c r="H14" t="s">
        <v>80</v>
      </c>
      <c r="I14" t="s">
        <v>40</v>
      </c>
      <c r="J14" t="s">
        <v>40</v>
      </c>
      <c r="K14" s="2">
        <f t="shared" si="0"/>
        <v>1</v>
      </c>
      <c r="L14" s="2">
        <v>0</v>
      </c>
      <c r="N14" t="s">
        <v>81</v>
      </c>
    </row>
    <row r="15" spans="1:14" x14ac:dyDescent="0.45">
      <c r="A15" t="s">
        <v>14</v>
      </c>
      <c r="B15">
        <v>2</v>
      </c>
      <c r="C15" t="s">
        <v>47</v>
      </c>
      <c r="D15" t="s">
        <v>82</v>
      </c>
      <c r="E15" t="s">
        <v>49</v>
      </c>
      <c r="F15" t="s">
        <v>18</v>
      </c>
      <c r="G15" t="s">
        <v>83</v>
      </c>
      <c r="I15" t="s">
        <v>51</v>
      </c>
      <c r="J15">
        <v>1</v>
      </c>
      <c r="K15" s="2">
        <f t="shared" si="0"/>
        <v>1</v>
      </c>
      <c r="L15" s="2">
        <v>0</v>
      </c>
      <c r="N15" t="s">
        <v>84</v>
      </c>
    </row>
    <row r="16" spans="1:14" x14ac:dyDescent="0.45">
      <c r="A16" t="s">
        <v>14</v>
      </c>
      <c r="B16">
        <v>2</v>
      </c>
      <c r="C16" t="s">
        <v>53</v>
      </c>
      <c r="D16" t="s">
        <v>85</v>
      </c>
      <c r="E16" t="s">
        <v>55</v>
      </c>
      <c r="F16" t="s">
        <v>24</v>
      </c>
      <c r="G16" t="s">
        <v>86</v>
      </c>
      <c r="I16" t="s">
        <v>26</v>
      </c>
      <c r="J16" t="s">
        <v>26</v>
      </c>
      <c r="K16" s="2">
        <f t="shared" si="0"/>
        <v>1</v>
      </c>
      <c r="L16" s="2">
        <v>0</v>
      </c>
      <c r="N16" t="s">
        <v>87</v>
      </c>
    </row>
    <row r="17" spans="1:14" x14ac:dyDescent="0.45">
      <c r="A17" t="s">
        <v>14</v>
      </c>
      <c r="B17">
        <v>2</v>
      </c>
      <c r="C17" t="s">
        <v>58</v>
      </c>
      <c r="D17" t="s">
        <v>88</v>
      </c>
      <c r="E17" t="s">
        <v>55</v>
      </c>
      <c r="F17" t="s">
        <v>24</v>
      </c>
      <c r="G17" t="s">
        <v>89</v>
      </c>
      <c r="I17" t="s">
        <v>26</v>
      </c>
      <c r="J17" t="s">
        <v>26</v>
      </c>
      <c r="K17" s="2">
        <f t="shared" si="0"/>
        <v>1</v>
      </c>
      <c r="L17" s="2">
        <v>0</v>
      </c>
      <c r="N17" t="s">
        <v>90</v>
      </c>
    </row>
    <row r="18" spans="1:14" x14ac:dyDescent="0.45">
      <c r="A18" t="s">
        <v>14</v>
      </c>
      <c r="B18">
        <v>3</v>
      </c>
      <c r="C18" t="s">
        <v>15</v>
      </c>
      <c r="D18" t="s">
        <v>91</v>
      </c>
      <c r="E18" t="s">
        <v>17</v>
      </c>
      <c r="F18" t="s">
        <v>18</v>
      </c>
      <c r="G18" t="s">
        <v>92</v>
      </c>
      <c r="I18" t="s">
        <v>93</v>
      </c>
      <c r="J18" s="5">
        <v>0.95833333333333337</v>
      </c>
      <c r="K18" s="2">
        <f t="shared" si="0"/>
        <v>0</v>
      </c>
      <c r="L18" s="2">
        <v>0</v>
      </c>
      <c r="N18" t="s">
        <v>94</v>
      </c>
    </row>
    <row r="19" spans="1:14" x14ac:dyDescent="0.45">
      <c r="A19" t="s">
        <v>14</v>
      </c>
      <c r="B19">
        <v>3</v>
      </c>
      <c r="C19" t="s">
        <v>22</v>
      </c>
      <c r="D19" t="s">
        <v>95</v>
      </c>
      <c r="E19" t="s">
        <v>17</v>
      </c>
      <c r="F19" t="s">
        <v>24</v>
      </c>
      <c r="G19" t="s">
        <v>96</v>
      </c>
      <c r="I19" t="s">
        <v>26</v>
      </c>
      <c r="J19" t="s">
        <v>26</v>
      </c>
      <c r="K19" s="2">
        <f t="shared" si="0"/>
        <v>1</v>
      </c>
      <c r="L19" s="2">
        <v>0</v>
      </c>
      <c r="N19" t="s">
        <v>97</v>
      </c>
    </row>
    <row r="20" spans="1:14" x14ac:dyDescent="0.45">
      <c r="A20" t="s">
        <v>14</v>
      </c>
      <c r="B20">
        <v>3</v>
      </c>
      <c r="C20" t="s">
        <v>28</v>
      </c>
      <c r="D20" t="s">
        <v>98</v>
      </c>
      <c r="E20" t="s">
        <v>30</v>
      </c>
      <c r="F20" t="s">
        <v>31</v>
      </c>
      <c r="G20" t="s">
        <v>99</v>
      </c>
      <c r="H20" t="s">
        <v>100</v>
      </c>
      <c r="I20" t="s">
        <v>34</v>
      </c>
      <c r="J20" t="s">
        <v>186</v>
      </c>
      <c r="K20" s="2">
        <f t="shared" si="0"/>
        <v>0</v>
      </c>
      <c r="L20" s="2">
        <v>1</v>
      </c>
      <c r="N20" t="s">
        <v>101</v>
      </c>
    </row>
    <row r="21" spans="1:14" x14ac:dyDescent="0.45">
      <c r="A21" t="s">
        <v>14</v>
      </c>
      <c r="B21">
        <v>3</v>
      </c>
      <c r="C21" t="s">
        <v>36</v>
      </c>
      <c r="D21" t="s">
        <v>102</v>
      </c>
      <c r="E21" t="s">
        <v>30</v>
      </c>
      <c r="F21" t="s">
        <v>31</v>
      </c>
      <c r="G21" t="s">
        <v>103</v>
      </c>
      <c r="H21" t="s">
        <v>104</v>
      </c>
      <c r="I21" t="s">
        <v>34</v>
      </c>
      <c r="J21" t="s">
        <v>34</v>
      </c>
      <c r="K21" s="2">
        <f t="shared" si="0"/>
        <v>1</v>
      </c>
      <c r="L21" s="2">
        <v>1</v>
      </c>
      <c r="N21" t="s">
        <v>105</v>
      </c>
    </row>
    <row r="22" spans="1:14" x14ac:dyDescent="0.45">
      <c r="A22" t="s">
        <v>14</v>
      </c>
      <c r="B22">
        <v>3</v>
      </c>
      <c r="C22" t="s">
        <v>42</v>
      </c>
      <c r="D22" t="s">
        <v>106</v>
      </c>
      <c r="E22" t="s">
        <v>30</v>
      </c>
      <c r="F22" t="s">
        <v>31</v>
      </c>
      <c r="G22" t="s">
        <v>107</v>
      </c>
      <c r="H22" t="s">
        <v>108</v>
      </c>
      <c r="I22" t="s">
        <v>40</v>
      </c>
      <c r="J22" t="s">
        <v>40</v>
      </c>
      <c r="K22" s="2">
        <f t="shared" si="0"/>
        <v>1</v>
      </c>
      <c r="L22" s="2">
        <v>0</v>
      </c>
      <c r="N22" t="s">
        <v>109</v>
      </c>
    </row>
    <row r="23" spans="1:14" x14ac:dyDescent="0.45">
      <c r="A23" t="s">
        <v>14</v>
      </c>
      <c r="B23">
        <v>3</v>
      </c>
      <c r="C23" t="s">
        <v>47</v>
      </c>
      <c r="D23" t="s">
        <v>110</v>
      </c>
      <c r="E23" t="s">
        <v>49</v>
      </c>
      <c r="F23" t="s">
        <v>18</v>
      </c>
      <c r="G23" t="s">
        <v>111</v>
      </c>
      <c r="I23" t="s">
        <v>51</v>
      </c>
      <c r="J23">
        <v>1</v>
      </c>
      <c r="K23" s="2">
        <f t="shared" si="0"/>
        <v>1</v>
      </c>
      <c r="L23" s="2">
        <v>0</v>
      </c>
      <c r="N23" t="s">
        <v>112</v>
      </c>
    </row>
    <row r="24" spans="1:14" x14ac:dyDescent="0.45">
      <c r="A24" t="s">
        <v>14</v>
      </c>
      <c r="B24">
        <v>3</v>
      </c>
      <c r="C24" t="s">
        <v>53</v>
      </c>
      <c r="D24" t="s">
        <v>113</v>
      </c>
      <c r="E24" t="s">
        <v>55</v>
      </c>
      <c r="F24" t="s">
        <v>24</v>
      </c>
      <c r="G24" t="s">
        <v>114</v>
      </c>
      <c r="I24" t="s">
        <v>26</v>
      </c>
      <c r="J24" t="s">
        <v>26</v>
      </c>
      <c r="K24" s="2">
        <f t="shared" si="0"/>
        <v>1</v>
      </c>
      <c r="L24" s="2">
        <v>0</v>
      </c>
      <c r="N24" t="s">
        <v>115</v>
      </c>
    </row>
    <row r="25" spans="1:14" x14ac:dyDescent="0.45">
      <c r="A25" t="s">
        <v>14</v>
      </c>
      <c r="B25">
        <v>3</v>
      </c>
      <c r="C25" t="s">
        <v>58</v>
      </c>
      <c r="D25" t="s">
        <v>116</v>
      </c>
      <c r="E25" t="s">
        <v>55</v>
      </c>
      <c r="F25" t="s">
        <v>24</v>
      </c>
      <c r="G25" t="s">
        <v>56</v>
      </c>
      <c r="I25" t="s">
        <v>26</v>
      </c>
      <c r="J25" t="s">
        <v>26</v>
      </c>
      <c r="K25" s="2">
        <f t="shared" si="0"/>
        <v>1</v>
      </c>
      <c r="L25" s="2">
        <v>0</v>
      </c>
      <c r="N25" t="s">
        <v>117</v>
      </c>
    </row>
    <row r="26" spans="1:14" x14ac:dyDescent="0.45">
      <c r="A26" t="s">
        <v>14</v>
      </c>
      <c r="B26">
        <v>4</v>
      </c>
      <c r="C26" t="s">
        <v>15</v>
      </c>
      <c r="D26" t="s">
        <v>118</v>
      </c>
      <c r="E26" t="s">
        <v>17</v>
      </c>
      <c r="F26" t="s">
        <v>18</v>
      </c>
      <c r="G26" t="s">
        <v>119</v>
      </c>
      <c r="I26" t="s">
        <v>120</v>
      </c>
      <c r="J26" s="4" t="s">
        <v>188</v>
      </c>
      <c r="K26" s="2">
        <f t="shared" si="0"/>
        <v>0</v>
      </c>
      <c r="L26" s="2">
        <v>0</v>
      </c>
      <c r="N26" t="s">
        <v>121</v>
      </c>
    </row>
    <row r="27" spans="1:14" x14ac:dyDescent="0.45">
      <c r="A27" t="s">
        <v>14</v>
      </c>
      <c r="B27">
        <v>4</v>
      </c>
      <c r="C27" t="s">
        <v>22</v>
      </c>
      <c r="D27" t="s">
        <v>122</v>
      </c>
      <c r="E27" t="s">
        <v>17</v>
      </c>
      <c r="F27" t="s">
        <v>24</v>
      </c>
      <c r="G27" t="s">
        <v>123</v>
      </c>
      <c r="I27" t="s">
        <v>68</v>
      </c>
      <c r="J27" t="s">
        <v>68</v>
      </c>
      <c r="K27" s="2">
        <f t="shared" si="0"/>
        <v>1</v>
      </c>
      <c r="L27" s="2">
        <v>0</v>
      </c>
      <c r="N27" t="s">
        <v>124</v>
      </c>
    </row>
    <row r="28" spans="1:14" x14ac:dyDescent="0.45">
      <c r="A28" t="s">
        <v>14</v>
      </c>
      <c r="B28">
        <v>4</v>
      </c>
      <c r="C28" t="s">
        <v>28</v>
      </c>
      <c r="D28" t="s">
        <v>125</v>
      </c>
      <c r="E28" t="s">
        <v>30</v>
      </c>
      <c r="F28" t="s">
        <v>31</v>
      </c>
      <c r="G28" t="s">
        <v>126</v>
      </c>
      <c r="H28" t="s">
        <v>127</v>
      </c>
      <c r="I28" t="s">
        <v>34</v>
      </c>
      <c r="J28" t="s">
        <v>34</v>
      </c>
      <c r="K28" s="2">
        <f t="shared" si="0"/>
        <v>1</v>
      </c>
      <c r="L28" s="2">
        <v>0</v>
      </c>
      <c r="N28" t="s">
        <v>128</v>
      </c>
    </row>
    <row r="29" spans="1:14" x14ac:dyDescent="0.45">
      <c r="A29" t="s">
        <v>14</v>
      </c>
      <c r="B29">
        <v>4</v>
      </c>
      <c r="C29" t="s">
        <v>36</v>
      </c>
      <c r="D29" t="s">
        <v>129</v>
      </c>
      <c r="E29" t="s">
        <v>30</v>
      </c>
      <c r="F29" t="s">
        <v>31</v>
      </c>
      <c r="G29" t="s">
        <v>130</v>
      </c>
      <c r="H29" t="s">
        <v>131</v>
      </c>
      <c r="I29" t="s">
        <v>34</v>
      </c>
      <c r="J29" t="s">
        <v>34</v>
      </c>
      <c r="K29" s="2">
        <f t="shared" si="0"/>
        <v>1</v>
      </c>
      <c r="L29" s="2">
        <v>0</v>
      </c>
      <c r="N29" t="s">
        <v>132</v>
      </c>
    </row>
    <row r="30" spans="1:14" x14ac:dyDescent="0.45">
      <c r="A30" t="s">
        <v>14</v>
      </c>
      <c r="B30">
        <v>4</v>
      </c>
      <c r="C30" t="s">
        <v>42</v>
      </c>
      <c r="D30" t="s">
        <v>133</v>
      </c>
      <c r="E30" t="s">
        <v>30</v>
      </c>
      <c r="F30" t="s">
        <v>31</v>
      </c>
      <c r="G30" t="s">
        <v>134</v>
      </c>
      <c r="H30" t="s">
        <v>135</v>
      </c>
      <c r="I30" t="s">
        <v>34</v>
      </c>
      <c r="J30" t="s">
        <v>34</v>
      </c>
      <c r="K30" s="2">
        <f t="shared" si="0"/>
        <v>1</v>
      </c>
      <c r="L30" s="2">
        <v>0</v>
      </c>
      <c r="N30" t="s">
        <v>136</v>
      </c>
    </row>
    <row r="31" spans="1:14" x14ac:dyDescent="0.45">
      <c r="A31" t="s">
        <v>14</v>
      </c>
      <c r="B31">
        <v>4</v>
      </c>
      <c r="C31" t="s">
        <v>47</v>
      </c>
      <c r="D31" t="s">
        <v>137</v>
      </c>
      <c r="E31" t="s">
        <v>49</v>
      </c>
      <c r="F31" t="s">
        <v>18</v>
      </c>
      <c r="G31" t="s">
        <v>138</v>
      </c>
      <c r="I31" t="s">
        <v>139</v>
      </c>
      <c r="J31">
        <v>2</v>
      </c>
      <c r="K31" s="2">
        <f t="shared" si="0"/>
        <v>0</v>
      </c>
      <c r="L31" s="2">
        <v>1</v>
      </c>
      <c r="N31" t="s">
        <v>140</v>
      </c>
    </row>
    <row r="32" spans="1:14" x14ac:dyDescent="0.45">
      <c r="A32" t="s">
        <v>14</v>
      </c>
      <c r="B32">
        <v>4</v>
      </c>
      <c r="C32" t="s">
        <v>53</v>
      </c>
      <c r="D32" t="s">
        <v>141</v>
      </c>
      <c r="E32" t="s">
        <v>55</v>
      </c>
      <c r="F32" t="s">
        <v>24</v>
      </c>
      <c r="G32" t="s">
        <v>142</v>
      </c>
      <c r="I32" t="s">
        <v>26</v>
      </c>
      <c r="J32" t="s">
        <v>26</v>
      </c>
      <c r="K32" s="2">
        <f t="shared" si="0"/>
        <v>1</v>
      </c>
      <c r="L32" s="2">
        <v>0</v>
      </c>
      <c r="N32" t="s">
        <v>143</v>
      </c>
    </row>
    <row r="33" spans="1:14" x14ac:dyDescent="0.45">
      <c r="A33" t="s">
        <v>14</v>
      </c>
      <c r="B33">
        <v>4</v>
      </c>
      <c r="C33" t="s">
        <v>58</v>
      </c>
      <c r="D33" t="s">
        <v>144</v>
      </c>
      <c r="E33" t="s">
        <v>55</v>
      </c>
      <c r="F33" t="s">
        <v>24</v>
      </c>
      <c r="G33" t="s">
        <v>145</v>
      </c>
      <c r="I33" t="s">
        <v>26</v>
      </c>
      <c r="J33" t="s">
        <v>26</v>
      </c>
      <c r="K33" s="2">
        <f t="shared" si="0"/>
        <v>1</v>
      </c>
      <c r="L33" s="2">
        <v>0</v>
      </c>
      <c r="N33" t="s">
        <v>146</v>
      </c>
    </row>
    <row r="34" spans="1:14" x14ac:dyDescent="0.45">
      <c r="A34" t="s">
        <v>14</v>
      </c>
      <c r="B34">
        <v>5</v>
      </c>
      <c r="C34" t="s">
        <v>15</v>
      </c>
      <c r="D34" t="s">
        <v>147</v>
      </c>
      <c r="E34" t="s">
        <v>17</v>
      </c>
      <c r="F34" t="s">
        <v>18</v>
      </c>
      <c r="G34" t="s">
        <v>148</v>
      </c>
      <c r="I34" t="s">
        <v>149</v>
      </c>
      <c r="J34" s="6">
        <v>0.77916666666666667</v>
      </c>
      <c r="K34" s="2">
        <f t="shared" si="0"/>
        <v>0</v>
      </c>
      <c r="L34" s="2">
        <v>1</v>
      </c>
      <c r="N34" t="s">
        <v>150</v>
      </c>
    </row>
    <row r="35" spans="1:14" x14ac:dyDescent="0.45">
      <c r="A35" t="s">
        <v>14</v>
      </c>
      <c r="B35">
        <v>5</v>
      </c>
      <c r="C35" t="s">
        <v>22</v>
      </c>
      <c r="D35" t="s">
        <v>151</v>
      </c>
      <c r="E35" t="s">
        <v>17</v>
      </c>
      <c r="F35" t="s">
        <v>24</v>
      </c>
      <c r="G35" t="s">
        <v>152</v>
      </c>
      <c r="I35" t="s">
        <v>26</v>
      </c>
      <c r="J35" t="s">
        <v>26</v>
      </c>
      <c r="K35" s="2">
        <f t="shared" si="0"/>
        <v>1</v>
      </c>
      <c r="L35" s="2">
        <v>0</v>
      </c>
      <c r="N35" t="s">
        <v>153</v>
      </c>
    </row>
    <row r="36" spans="1:14" x14ac:dyDescent="0.45">
      <c r="A36" t="s">
        <v>14</v>
      </c>
      <c r="B36">
        <v>5</v>
      </c>
      <c r="C36" t="s">
        <v>28</v>
      </c>
      <c r="D36" t="s">
        <v>154</v>
      </c>
      <c r="E36" t="s">
        <v>30</v>
      </c>
      <c r="F36" t="s">
        <v>31</v>
      </c>
      <c r="G36" t="s">
        <v>155</v>
      </c>
      <c r="H36" t="s">
        <v>156</v>
      </c>
      <c r="I36" t="s">
        <v>34</v>
      </c>
      <c r="J36" t="s">
        <v>34</v>
      </c>
      <c r="K36" s="2">
        <f t="shared" si="0"/>
        <v>1</v>
      </c>
      <c r="L36" s="2">
        <v>0</v>
      </c>
      <c r="N36" t="s">
        <v>157</v>
      </c>
    </row>
    <row r="37" spans="1:14" x14ac:dyDescent="0.45">
      <c r="A37" t="s">
        <v>14</v>
      </c>
      <c r="B37">
        <v>5</v>
      </c>
      <c r="C37" t="s">
        <v>36</v>
      </c>
      <c r="D37" t="s">
        <v>158</v>
      </c>
      <c r="E37" t="s">
        <v>30</v>
      </c>
      <c r="F37" t="s">
        <v>31</v>
      </c>
      <c r="G37" t="s">
        <v>159</v>
      </c>
      <c r="H37" t="s">
        <v>160</v>
      </c>
      <c r="I37" t="s">
        <v>34</v>
      </c>
      <c r="J37" t="s">
        <v>34</v>
      </c>
      <c r="K37" s="2">
        <f t="shared" si="0"/>
        <v>1</v>
      </c>
      <c r="L37" s="2">
        <v>0</v>
      </c>
      <c r="N37" t="s">
        <v>161</v>
      </c>
    </row>
    <row r="38" spans="1:14" x14ac:dyDescent="0.45">
      <c r="A38" t="s">
        <v>14</v>
      </c>
      <c r="B38">
        <v>5</v>
      </c>
      <c r="C38" t="s">
        <v>42</v>
      </c>
      <c r="D38" t="s">
        <v>162</v>
      </c>
      <c r="E38" t="s">
        <v>30</v>
      </c>
      <c r="F38" t="s">
        <v>31</v>
      </c>
      <c r="G38" t="s">
        <v>163</v>
      </c>
      <c r="H38" t="s">
        <v>164</v>
      </c>
      <c r="I38" t="s">
        <v>34</v>
      </c>
      <c r="J38" t="s">
        <v>34</v>
      </c>
      <c r="K38" s="2">
        <f t="shared" si="0"/>
        <v>1</v>
      </c>
      <c r="L38" s="2">
        <v>0</v>
      </c>
      <c r="N38" t="s">
        <v>165</v>
      </c>
    </row>
    <row r="39" spans="1:14" x14ac:dyDescent="0.45">
      <c r="A39" t="s">
        <v>14</v>
      </c>
      <c r="B39">
        <v>5</v>
      </c>
      <c r="C39" t="s">
        <v>47</v>
      </c>
      <c r="D39" t="s">
        <v>166</v>
      </c>
      <c r="E39" t="s">
        <v>49</v>
      </c>
      <c r="F39" t="s">
        <v>18</v>
      </c>
      <c r="G39" t="s">
        <v>167</v>
      </c>
      <c r="I39" t="s">
        <v>51</v>
      </c>
      <c r="J39">
        <v>1</v>
      </c>
      <c r="K39" s="2">
        <f t="shared" si="0"/>
        <v>1</v>
      </c>
      <c r="L39" s="2">
        <v>0</v>
      </c>
      <c r="N39" t="s">
        <v>168</v>
      </c>
    </row>
    <row r="40" spans="1:14" x14ac:dyDescent="0.45">
      <c r="A40" t="s">
        <v>14</v>
      </c>
      <c r="B40">
        <v>5</v>
      </c>
      <c r="C40" t="s">
        <v>53</v>
      </c>
      <c r="D40" t="s">
        <v>169</v>
      </c>
      <c r="E40" t="s">
        <v>55</v>
      </c>
      <c r="F40" t="s">
        <v>24</v>
      </c>
      <c r="G40" t="s">
        <v>170</v>
      </c>
      <c r="I40" t="s">
        <v>26</v>
      </c>
      <c r="J40" t="s">
        <v>26</v>
      </c>
      <c r="K40" s="2">
        <f t="shared" si="0"/>
        <v>1</v>
      </c>
      <c r="L40" s="2">
        <v>0</v>
      </c>
      <c r="N40" t="s">
        <v>171</v>
      </c>
    </row>
    <row r="41" spans="1:14" x14ac:dyDescent="0.45">
      <c r="A41" t="s">
        <v>14</v>
      </c>
      <c r="B41">
        <v>5</v>
      </c>
      <c r="C41" t="s">
        <v>58</v>
      </c>
      <c r="D41" t="s">
        <v>172</v>
      </c>
      <c r="E41" t="s">
        <v>55</v>
      </c>
      <c r="F41" t="s">
        <v>24</v>
      </c>
      <c r="G41" t="s">
        <v>173</v>
      </c>
      <c r="I41" t="s">
        <v>26</v>
      </c>
      <c r="J41" t="s">
        <v>26</v>
      </c>
      <c r="K41" s="2">
        <f t="shared" si="0"/>
        <v>1</v>
      </c>
      <c r="L41" s="2">
        <v>0</v>
      </c>
      <c r="N41" t="s">
        <v>174</v>
      </c>
    </row>
  </sheetData>
  <autoFilter ref="A1:N4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tabSelected="1" workbookViewId="0">
      <pane ySplit="1" topLeftCell="A2" activePane="bottomLeft" state="frozen"/>
      <selection pane="bottomLeft" activeCell="B10" sqref="B10"/>
    </sheetView>
  </sheetViews>
  <sheetFormatPr defaultRowHeight="14.25" x14ac:dyDescent="0.45"/>
  <cols>
    <col min="1" max="1" width="24" customWidth="1"/>
    <col min="2" max="2" width="45" customWidth="1"/>
  </cols>
  <sheetData>
    <row r="1" spans="1:2" x14ac:dyDescent="0.45">
      <c r="A1" s="1" t="s">
        <v>175</v>
      </c>
      <c r="B1" s="1" t="s">
        <v>176</v>
      </c>
    </row>
    <row r="2" spans="1:2" x14ac:dyDescent="0.45">
      <c r="A2" t="s">
        <v>177</v>
      </c>
      <c r="B2">
        <f>ROWS(Queries!A2:A41)</f>
        <v>40</v>
      </c>
    </row>
    <row r="3" spans="1:2" x14ac:dyDescent="0.45">
      <c r="A3" t="s">
        <v>178</v>
      </c>
      <c r="B3" s="3">
        <f>AVERAGE(Queries!K2:K41)</f>
        <v>0.8</v>
      </c>
    </row>
    <row r="4" spans="1:2" x14ac:dyDescent="0.45">
      <c r="A4" t="s">
        <v>187</v>
      </c>
      <c r="B4" s="3">
        <f>IF(COUNTA(Queries!A2:A41)=0,0,SUM(Queries!L2:L41)/COUNTA(Queries!A2:A41))</f>
        <v>0.17499999999999999</v>
      </c>
    </row>
    <row r="5" spans="1:2" x14ac:dyDescent="0.45">
      <c r="A5" t="s">
        <v>179</v>
      </c>
      <c r="B5">
        <v>269</v>
      </c>
    </row>
    <row r="6" spans="1:2" x14ac:dyDescent="0.45">
      <c r="A6" t="s">
        <v>180</v>
      </c>
      <c r="B6" s="3">
        <f>IF(COUNTIF(Queries!E2:E41,"temporal")=0,"",AVERAGEIF(Queries!E2:E41,"temporal",Queries!K2:K41))</f>
        <v>0.5</v>
      </c>
    </row>
    <row r="7" spans="1:2" x14ac:dyDescent="0.45">
      <c r="A7" t="s">
        <v>181</v>
      </c>
      <c r="B7" s="3">
        <f>IF(COUNTIF(Queries!E2:E41,"cross_modal")=0,"",AVERAGEIF(Queries!E2:E41,"cross_modal",Queries!K2:K41))</f>
        <v>0.93333333333333335</v>
      </c>
    </row>
    <row r="8" spans="1:2" x14ac:dyDescent="0.45">
      <c r="A8" t="s">
        <v>182</v>
      </c>
      <c r="B8" s="3">
        <f>IF(COUNTIF(Queries!E2:E41,"deduplication")=0,"",AVERAGEIF(Queries!E2:E41,"deduplication",Queries!K2:K41))</f>
        <v>0.6</v>
      </c>
    </row>
    <row r="9" spans="1:2" x14ac:dyDescent="0.45">
      <c r="A9" t="s">
        <v>183</v>
      </c>
      <c r="B9" s="3">
        <f>IF(COUNTIF(Queries!E2:E41,"hallucination")=0,"",AVERAGEIF(Queries!E2:E41,"hallucination",Queries!K2:K41))</f>
        <v>1</v>
      </c>
    </row>
    <row r="10" spans="1:2" x14ac:dyDescent="0.45">
      <c r="A10" t="s">
        <v>185</v>
      </c>
      <c r="B10" s="3" cm="1">
        <f t="array" ref="B10">IF(SUMPRODUCT(--(Queries!E2:E41&lt;&gt;"hallucination"))=0,"",1-SUMPRODUCT(--(Queries!E2:E41&lt;&gt;"hallucination"),--(((LOWER(TRIM(Queries!J2:J41))="unknown")+(TRIM(Queries!J2:J41)=""))&gt;0))/SUMPRODUCT(--(Queries!E2:E41&lt;&gt;"hallucination")))</f>
        <v>0.96666666666666667</v>
      </c>
    </row>
    <row r="12" spans="1:2" x14ac:dyDescent="0.45">
      <c r="A12" t="s">
        <v>184</v>
      </c>
      <c r="B12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Queries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Alessandro Pruner</cp:lastModifiedBy>
  <dcterms:created xsi:type="dcterms:W3CDTF">2026-03-12T11:29:45Z</dcterms:created>
  <dcterms:modified xsi:type="dcterms:W3CDTF">2026-03-16T16:14:13Z</dcterms:modified>
</cp:coreProperties>
</file>