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Università - Borsa di Ricerca\HDT Framework Repo\HumanDigitalTwin\token_metrics\evaluation_run1\"/>
    </mc:Choice>
  </mc:AlternateContent>
  <xr:revisionPtr revIDLastSave="0" documentId="13_ncr:1_{C131DA8C-4331-484D-BF1C-A9FEE7BD95C0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Queries" sheetId="1" r:id="rId1"/>
    <sheet name="Summary" sheetId="2" r:id="rId2"/>
  </sheets>
  <definedNames>
    <definedName name="_xlnm._FilterDatabase" localSheetId="0" hidden="1">Queries!$A$1:$N$49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B10" i="2" s="1"/>
  <c r="L8" i="1"/>
  <c r="K8" i="1"/>
  <c r="L7" i="1"/>
  <c r="K7" i="1"/>
  <c r="L6" i="1"/>
  <c r="K6" i="1"/>
  <c r="B8" i="2" s="1"/>
  <c r="L5" i="1"/>
  <c r="K5" i="1"/>
  <c r="L4" i="1"/>
  <c r="K4" i="1"/>
  <c r="L3" i="1"/>
  <c r="K3" i="1"/>
  <c r="L2" i="1"/>
  <c r="K2" i="1"/>
  <c r="B7" i="2" l="1"/>
  <c r="B9" i="2"/>
  <c r="B3" i="2"/>
  <c r="B4" i="2"/>
  <c r="B6" i="2"/>
</calcChain>
</file>

<file path=xl/sharedStrings.xml><?xml version="1.0" encoding="utf-8"?>
<sst xmlns="http://schemas.openxmlformats.org/spreadsheetml/2006/main" count="446" uniqueCount="217">
  <si>
    <t>dataset</t>
  </si>
  <si>
    <t>scene_id</t>
  </si>
  <si>
    <t>qid</t>
  </si>
  <si>
    <t>global_id</t>
  </si>
  <si>
    <t>category</t>
  </si>
  <si>
    <t>type</t>
  </si>
  <si>
    <t>question</t>
  </si>
  <si>
    <t>options_json</t>
  </si>
  <si>
    <t>gt_answer</t>
  </si>
  <si>
    <t>model_answer</t>
  </si>
  <si>
    <t>is_correct</t>
  </si>
  <si>
    <t>is_false_positive</t>
  </si>
  <si>
    <t>notes</t>
  </si>
  <si>
    <t>rationale</t>
  </si>
  <si>
    <t>dataset_20260306_154020.json</t>
  </si>
  <si>
    <t>Q1</t>
  </si>
  <si>
    <t>S1_Q1</t>
  </si>
  <si>
    <t>temporal</t>
  </si>
  <si>
    <t>exact</t>
  </si>
  <si>
    <t>What time did Alex start meal prepping?</t>
  </si>
  <si>
    <t>The smartwatch data shows the first entry at 14:00:00, and the dialogue implies Alex started meal prepping around this time.</t>
  </si>
  <si>
    <t>Q2</t>
  </si>
  <si>
    <t>S1_Q2</t>
  </si>
  <si>
    <t>binary</t>
  </si>
  <si>
    <t>Did Alex send a message to Rachel before 13:10?</t>
  </si>
  <si>
    <t>Yes</t>
  </si>
  <si>
    <t>Alex sent a message to Rachel at 13:05, which is before 13:10.</t>
  </si>
  <si>
    <t>Q3</t>
  </si>
  <si>
    <t>S1_Q3</t>
  </si>
  <si>
    <t>cross_modal</t>
  </si>
  <si>
    <t>multiple_choice</t>
  </si>
  <si>
    <t>What was Alex doing when they sent a message to Rachel at 13:08?</t>
  </si>
  <si>
    <t>{"A": "Cooking in the kitchen", "B": "Working out", "C": "Watching TV", "D": "Sleeping"}</t>
  </si>
  <si>
    <t>A</t>
  </si>
  <si>
    <t>The dialogue mentions Alex making chicken and rice, and the smart home data shows motion detected in the kitchen, indicating Alex was cooking.</t>
  </si>
  <si>
    <t>Q4</t>
  </si>
  <si>
    <t>S1_Q4</t>
  </si>
  <si>
    <t>Why was Alex feeling stressed according to the dialogue and calendar events?</t>
  </si>
  <si>
    <t>{"A": "Having a busy week with client sessions and teaching classes", "B": "Having a high heart rate", "C": "Having a long conversation with Rachel", "D": "Having a dentist appointment"}</t>
  </si>
  <si>
    <t>The dialogue mentions Alex having a crazy week with lots of client sessions and teaching three classes, which matches the calendar events.</t>
  </si>
  <si>
    <t>Q5</t>
  </si>
  <si>
    <t>S1_Q5</t>
  </si>
  <si>
    <t>deduplication</t>
  </si>
  <si>
    <t>How many unique messages did Alex send to Rachel?</t>
  </si>
  <si>
    <t>6</t>
  </si>
  <si>
    <t>The messages data shows Alex sent 6 unique messages to Rachel.</t>
  </si>
  <si>
    <t>Q6</t>
  </si>
  <si>
    <t>S1_Q6</t>
  </si>
  <si>
    <t>hallucination</t>
  </si>
  <si>
    <t>Did Alex attend a dentist appointment?</t>
  </si>
  <si>
    <t>No</t>
  </si>
  <si>
    <t>There is no mention of a dentist appointment in the dialogue or calendar events.</t>
  </si>
  <si>
    <t>Q7</t>
  </si>
  <si>
    <t>S1_Q7</t>
  </si>
  <si>
    <t>Did Alex go to the gym?</t>
  </si>
  <si>
    <t>There is no mention of Alex going to the gym in the dialogue or calendar events.</t>
  </si>
  <si>
    <t>Q8</t>
  </si>
  <si>
    <t>S1_Q8</t>
  </si>
  <si>
    <t>completeness</t>
  </si>
  <si>
    <t>Is there evidence that Rachel helped Alex with meal prep?</t>
  </si>
  <si>
    <t>The dialogue mentions Rachel helping Alex with containers, and the smart home data shows motion detected in the kitchen.</t>
  </si>
  <si>
    <t>S2_Q1</t>
  </si>
  <si>
    <t>What time is the user's boot camp scheduled for?</t>
  </si>
  <si>
    <t>18:00</t>
  </si>
  <si>
    <t>The calendar event for 'Boot Camp' is scheduled from 18:00 to 19:00.</t>
  </si>
  <si>
    <t>S2_Q2</t>
  </si>
  <si>
    <t>Did the user receive a message from Rachel before 18:00?</t>
  </si>
  <si>
    <t>The user received a message from Rachel at 17:45, which is before 18:00.</t>
  </si>
  <si>
    <t>S2_Q3</t>
  </si>
  <si>
    <t>What does the user's dialogue suggest they plan to post on social media, based on their message to Rachel?</t>
  </si>
  <si>
    <t>{"A": "A quick video of the warm-up", "B": "A funny story about the class", "C": "A photo of the gym", "D": "A message about being stressed"}</t>
  </si>
  <si>
    <t>The user told Rachel, 'Planning to post a quick vid of the warm-up.'</t>
  </si>
  <si>
    <t>S2_Q4</t>
  </si>
  <si>
    <t>According to the user's smartphone app usage data and dialogue, what type of app did the user use for 10 minutes?</t>
  </si>
  <si>
    <t>{"A": "Communication", "B": "Social", "C": "Productivity", "D": "Entertainment"}</t>
  </si>
  <si>
    <t>The user's smartphone app usage data shows 10 minutes of 'communication' app usage, and the dialogue involves conversations with clients and Rachel.</t>
  </si>
  <si>
    <t>S2_Q5</t>
  </si>
  <si>
    <t>How many unique clients did the user interact with based on messages?</t>
  </si>
  <si>
    <t>2</t>
  </si>
  <si>
    <t>The user interacted with Rachel, Jen, and possibly others, but only Jen and Rachel are explicitly mentioned in messages, with Jen being a client.</t>
  </si>
  <si>
    <t>S2_Q6</t>
  </si>
  <si>
    <t>Did the user mention attending a movie in the evening?</t>
  </si>
  <si>
    <t>There is no mention of attending a movie in the provided dialogue or data.</t>
  </si>
  <si>
    <t>S2_Q7</t>
  </si>
  <si>
    <t>Did the user's smartwatch data indicate they went for a run?</t>
  </si>
  <si>
    <t>The smartwatch data shows activity but does not specifically indicate a run; it mentions 'active minutes' which could be from various activities.</t>
  </si>
  <si>
    <t>S2_Q8</t>
  </si>
  <si>
    <t>Is there evidence in the data that the user attended a boot camp class?</t>
  </si>
  <si>
    <t>The calendar event for 'Boot Camp' at 18:00 and the user's dialogue about preparing for it provide evidence.</t>
  </si>
  <si>
    <t>S3_Q1</t>
  </si>
  <si>
    <t>What time did the user receive a message from Emily about the new contract?</t>
  </si>
  <si>
    <t>13:45</t>
  </si>
  <si>
    <t>The message from Emily was received at 13:45 according to the Messages data.</t>
  </si>
  <si>
    <t>S3_Q2</t>
  </si>
  <si>
    <t>Did the user interact with a client before 14:00?</t>
  </si>
  <si>
    <t>The client interaction (Client Call) was scheduled to start at 14:00, so there was no interaction before 14:00.</t>
  </si>
  <si>
    <t>S3_Q3</t>
  </si>
  <si>
    <t>Why did the user mention needing to discuss the new contract with Emily?</t>
  </si>
  <si>
    <t>{"A": "Received a message from Emily about changes in payment terms", "B": "Saw a notification about a contract update on Slack", "C": "Had a calendar event to review the contract", "D": "Was drafting a TikTok video about contracts"}</t>
  </si>
  <si>
    <t>The user received a message from Emily about changes in payment terms, which prompted the need to discuss the new contract.</t>
  </si>
  <si>
    <t>S3_Q4</t>
  </si>
  <si>
    <t>What was the user's activity related to fitness or health around 14:05?</t>
  </si>
  <si>
    <t>{"A": "Drafting a TikTok video about supplements or a workout tip", "B": "Engaged in a workout session with FitFam22 on Instagram", "C": "Responding to an email about a nutrition collab", "D": "Discussing a client session on WhatsApp"}</t>
  </si>
  <si>
    <t>The user was drafting a TikTok video about supplements or a workout tip around 14:05.</t>
  </si>
  <si>
    <t>S3_Q5</t>
  </si>
  <si>
    <t>How many unique messages did the user send or receive about the new contract with Emily?</t>
  </si>
  <si>
    <t>4</t>
  </si>
  <si>
    <t>The user sent or received 4 unique messages about the new contract with Emily.</t>
  </si>
  <si>
    <t>S3_Q6</t>
  </si>
  <si>
    <t>Did the user attend a meeting with a nutritionist?</t>
  </si>
  <si>
    <t>There is no evidence in the data that the user attended a meeting with a nutritionist.</t>
  </si>
  <si>
    <t>S3_Q7</t>
  </si>
  <si>
    <t>Did the user post a new TikTok video about their favorite supplements during this scene?</t>
  </si>
  <si>
    <t>The user only drafted a TikTok video idea but did not post it during this scene.</t>
  </si>
  <si>
    <t>S3_Q8</t>
  </si>
  <si>
    <t>Is there any evidence that the user had a scheduled client call?</t>
  </si>
  <si>
    <t>The Calendar Events data shows a Client Call scheduled at 14:00.</t>
  </si>
  <si>
    <t>S4_Q1</t>
  </si>
  <si>
    <t>What time did the user respond to comments on Instagram?</t>
  </si>
  <si>
    <t>18:05</t>
  </si>
  <si>
    <t>The user sent a message on Instagram at 18:05.</t>
  </si>
  <si>
    <t>S4_Q2</t>
  </si>
  <si>
    <t>Did the user reschedule drinks with Rachel before 18:15?</t>
  </si>
  <si>
    <t>The user received a message from Rachel at 18:10 and sent a response at 18:12, and the calendar event for 'Drinks with Rachel' was rescheduled for tomorrow.</t>
  </si>
  <si>
    <t>S4_Q3</t>
  </si>
  <si>
    <t>Why did the user mention needing to get some rest?</t>
  </si>
  <si>
    <t>{"A": "They had a long day of work and a shoot the next morning", "B": "They were feeling overwhelmed with social media", "C": "They had a dentist appointment the next day", "D": "They were going to the gym"}</t>
  </si>
  <si>
    <t>The user mentioned needing to get some rest because they had a shoot in the morning and a long day, indicating they were tired.</t>
  </si>
  <si>
    <t>S4_Q4</t>
  </si>
  <si>
    <t>What was the user's primary activity during the scene?</t>
  </si>
  <si>
    <t>{"A": "Responding to comments on social media", "B": "Discussing work projects", "C": "Planning a workout", "D": "Watching TV"}</t>
  </si>
  <si>
    <t>The user was actively responding to comments on Instagram and engaging with followers.</t>
  </si>
  <si>
    <t>S4_Q5</t>
  </si>
  <si>
    <t>How many unique messages did the user send during the scene?</t>
  </si>
  <si>
    <t>3</t>
  </si>
  <si>
    <t>The user sent 3 unique messages: one on Instagram and two on WhatsApp.</t>
  </si>
  <si>
    <t>S4_Q6</t>
  </si>
  <si>
    <t>Did the user attend a concert during the scene?</t>
  </si>
  <si>
    <t>There is no mention or evidence of the user attending a concert.</t>
  </si>
  <si>
    <t>S4_Q7</t>
  </si>
  <si>
    <t>Did the user have a meeting at work during the scene?</t>
  </si>
  <si>
    <t>There is no mention or evidence of the user having a meeting at work.</t>
  </si>
  <si>
    <t>S4_Q8</t>
  </si>
  <si>
    <t>Is there any evidence that the user interacted with Rachel?</t>
  </si>
  <si>
    <t>The user received a message from Rachel and responded to it, indicating interaction.</t>
  </si>
  <si>
    <t>S5_Q1</t>
  </si>
  <si>
    <t>What time did Alex arrive at the coffee shop?</t>
  </si>
  <si>
    <t>14:00</t>
  </si>
  <si>
    <t>Message sent at 13:52 and smartwatch data starts at 14:00:00, indicating arrival at 14:00</t>
  </si>
  <si>
    <t>S5_Q2</t>
  </si>
  <si>
    <t>Did Alex meet Emily before 14:05?</t>
  </si>
  <si>
    <t>First message to Emily was sent at 13:52, but meeting location and time indicate it happened at or after 14:00</t>
  </si>
  <si>
    <t>S5_Q3</t>
  </si>
  <si>
    <t>What was Alex's heart rate when they arrived at the coffee shop?</t>
  </si>
  <si>
    <t>{"A": "78 bpm", "B": "100 bpm", "C": "120 bpm", "D": "150 bpm"}</t>
  </si>
  <si>
    <t>Smartwatch data shows heart rate of 78 bpm at 14:00:00, matching arrival time</t>
  </si>
  <si>
    <t>S5_Q4</t>
  </si>
  <si>
    <t>Why did Alex mention being nervous?</t>
  </si>
  <si>
    <t>{"A": "They had a team call scheduled", "B": "They were meeting a new potential client", "C": "They had a dentist appointment", "D": "They were late for a meeting"}</t>
  </si>
  <si>
    <t>B</t>
  </si>
  <si>
    <t>Dialogue mentions 'I'm a bit nervous, hope I can impress them' in relation to meeting a new potential client</t>
  </si>
  <si>
    <t>S5_Q5</t>
  </si>
  <si>
    <t>How many unique messages did Alex send during this scene?</t>
  </si>
  <si>
    <t>Alex sent 3 unique messages to Emily and others during the scene</t>
  </si>
  <si>
    <t>S5_Q6</t>
  </si>
  <si>
    <t>Did Alex have a conversation with Davide about the gym?</t>
  </si>
  <si>
    <t>There is no mention of Davide or a conversation about the gym in the provided data</t>
  </si>
  <si>
    <t>S5_Q7</t>
  </si>
  <si>
    <t>Did Emily mention having a prior engagement before the meeting?</t>
  </si>
  <si>
    <t>There is no mention of Emily having a prior engagement before the meeting in the provided data</t>
  </si>
  <si>
    <t>S5_Q8</t>
  </si>
  <si>
    <t>Is there evidence that Alex attended a client consultation with Emily?</t>
  </si>
  <si>
    <t>Calendar event and dialogue both confirm the client consultation with Emily</t>
  </si>
  <si>
    <t>S6_Q1</t>
  </si>
  <si>
    <t>What time did the user agree to meet Jamie for dinner?</t>
  </si>
  <si>
    <t>7:30</t>
  </si>
  <si>
    <t>Derived from WhatsApp message sent at 18:15, where user suggests 7:30 for dinner.</t>
  </si>
  <si>
    <t>S6_Q2</t>
  </si>
  <si>
    <t>Did the user receive Jamie's dinner invitation before 18:10?</t>
  </si>
  <si>
    <t>The first message from Jamie was received at 18:05, which is before 18:10.</t>
  </si>
  <si>
    <t>S6_Q3</t>
  </si>
  <si>
    <t>What was the user's activity before meeting Jamie for dinner?</t>
  </si>
  <si>
    <t>{"A": "Scrolling through TikTok", "B": "Working out", "C": "Watching a movie", "D": "Reading a book"}</t>
  </si>
  <si>
    <t>The user mentioned scrolling through TikTok before Jamie commented.</t>
  </si>
  <si>
    <t>S6_Q4</t>
  </si>
  <si>
    <t>Where did the user plan to go with Jamie based on their conversation?</t>
  </si>
  <si>
    <t>{"A": "New vegan place in Silverlake", "B": "Home of a friend", "C": "A park", "D": "A restaurant downtown"}</t>
  </si>
  <si>
    <t>The user and Jamie discussed going to the new vegan place in Silverlake.</t>
  </si>
  <si>
    <t>S6_Q5</t>
  </si>
  <si>
    <t>How many unique messages did the user send to Jamie?</t>
  </si>
  <si>
    <t>5</t>
  </si>
  <si>
    <t>The user sent 5 unique messages to Jamie: responses to dinner invitation and discussion about the location and time.</t>
  </si>
  <si>
    <t>S6_Q6</t>
  </si>
  <si>
    <t>Did the user discuss a business meeting with Jamie?</t>
  </si>
  <si>
    <t>There is no mention of a business meeting in the provided dialogue.</t>
  </si>
  <si>
    <t>S6_Q7</t>
  </si>
  <si>
    <t>Did Jamie mention being in a hurry during their conversation?</t>
  </si>
  <si>
    <t>There is no mention of Jamie being in a hurry in the provided dialogue.</t>
  </si>
  <si>
    <t>S6_Q8</t>
  </si>
  <si>
    <t>Is there evidence in the data that the user attended a dinner event with Jamie?</t>
  </si>
  <si>
    <t>The calendar event 'Dinner with Jamie' and the conversation about meeting at 7:30 support this.</t>
  </si>
  <si>
    <t>Metric</t>
  </si>
  <si>
    <t>Value</t>
  </si>
  <si>
    <t>#Queries</t>
  </si>
  <si>
    <t>Overall Accuracy</t>
  </si>
  <si>
    <t>Hallucination FPR</t>
  </si>
  <si>
    <t>Triples (manual)</t>
  </si>
  <si>
    <t>Accuracy Temporal</t>
  </si>
  <si>
    <t>Accuracy Cross-modal</t>
  </si>
  <si>
    <t>Accuracy Deduplication</t>
  </si>
  <si>
    <t>Accuracy Hallucination</t>
  </si>
  <si>
    <t>Accuracy Completeness</t>
  </si>
  <si>
    <t>No info</t>
  </si>
  <si>
    <t>KG contains "Alex Mealprepson Sundays" but no explicit start time</t>
  </si>
  <si>
    <t>Unknown</t>
  </si>
  <si>
    <t>D</t>
  </si>
  <si>
    <t>Unknwon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</si>
</sst>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horizontal="center" vertical="center"/>
    </xf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"/>
  <sheetViews>
    <sheetView tabSelected="1" topLeftCell="D1" workbookViewId="0">
      <pane ySplit="1" topLeftCell="A30" activePane="bottomLeft" state="frozen"/>
      <selection pane="bottomLeft" activeCell="J28" sqref="J28"/>
    </sheetView>
  </sheetViews>
  <sheetFormatPr defaultRowHeight="14.25" x14ac:dyDescent="0.45"/>
  <cols>
    <col min="1" max="1" width="11" customWidth="1"/>
    <col min="2" max="2" width="4.73046875" customWidth="1"/>
    <col min="3" max="3" width="5" customWidth="1"/>
    <col min="4" max="4" width="11" customWidth="1"/>
    <col min="5" max="5" width="11.3984375" customWidth="1"/>
    <col min="6" max="6" width="17" customWidth="1"/>
    <col min="7" max="8" width="60" customWidth="1"/>
    <col min="9" max="9" width="11" customWidth="1"/>
    <col min="10" max="10" width="14" customWidth="1"/>
    <col min="11" max="11" width="16.86328125" customWidth="1"/>
    <col min="12" max="12" width="21.59765625" customWidth="1"/>
    <col min="13" max="13" width="10" customWidth="1"/>
    <col min="14" max="14" width="60" customWidth="1"/>
  </cols>
  <sheetData>
    <row r="1" spans="1:14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5">
      <c r="A2" t="s">
        <v>14</v>
      </c>
      <c r="B2">
        <v>1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I2" s="3">
        <v>0.58333333333333337</v>
      </c>
      <c r="J2" s="3" t="s">
        <v>214</v>
      </c>
      <c r="K2" s="2">
        <f t="shared" ref="K2:K49" si="0">IF(LOWER(TRIM(J2))=LOWER(TRIM(I2)),1,0)</f>
        <v>0</v>
      </c>
      <c r="L2" s="2">
        <f t="shared" ref="L2:L49" si="1">IF(AND(LOWER(TRIM(E2))="hallucination",LOWER(TRIM(I2))="no",LOWER(TRIM(J2))="yes"),1,0)</f>
        <v>0</v>
      </c>
      <c r="M2" t="s">
        <v>213</v>
      </c>
      <c r="N2" t="s">
        <v>20</v>
      </c>
    </row>
    <row r="3" spans="1:14" x14ac:dyDescent="0.45">
      <c r="A3" t="s">
        <v>14</v>
      </c>
      <c r="B3">
        <v>1</v>
      </c>
      <c r="C3" t="s">
        <v>21</v>
      </c>
      <c r="D3" t="s">
        <v>22</v>
      </c>
      <c r="E3" t="s">
        <v>17</v>
      </c>
      <c r="F3" t="s">
        <v>23</v>
      </c>
      <c r="G3" t="s">
        <v>24</v>
      </c>
      <c r="I3" t="s">
        <v>25</v>
      </c>
      <c r="J3" t="s">
        <v>50</v>
      </c>
      <c r="K3" s="2">
        <f t="shared" si="0"/>
        <v>0</v>
      </c>
      <c r="L3" s="2">
        <f t="shared" si="1"/>
        <v>0</v>
      </c>
      <c r="N3" t="s">
        <v>26</v>
      </c>
    </row>
    <row r="4" spans="1:14" x14ac:dyDescent="0.45">
      <c r="A4" t="s">
        <v>14</v>
      </c>
      <c r="B4">
        <v>1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212</v>
      </c>
      <c r="K4" s="2">
        <f t="shared" si="0"/>
        <v>0</v>
      </c>
      <c r="L4" s="2">
        <f t="shared" si="1"/>
        <v>0</v>
      </c>
      <c r="N4" t="s">
        <v>34</v>
      </c>
    </row>
    <row r="5" spans="1:14" x14ac:dyDescent="0.45">
      <c r="A5" t="s">
        <v>14</v>
      </c>
      <c r="B5">
        <v>1</v>
      </c>
      <c r="C5" t="s">
        <v>35</v>
      </c>
      <c r="D5" t="s">
        <v>36</v>
      </c>
      <c r="E5" t="s">
        <v>29</v>
      </c>
      <c r="F5" t="s">
        <v>30</v>
      </c>
      <c r="G5" t="s">
        <v>37</v>
      </c>
      <c r="H5" t="s">
        <v>38</v>
      </c>
      <c r="I5" t="s">
        <v>33</v>
      </c>
      <c r="J5" t="s">
        <v>33</v>
      </c>
      <c r="K5" s="2">
        <f t="shared" si="0"/>
        <v>1</v>
      </c>
      <c r="L5" s="2">
        <f t="shared" si="1"/>
        <v>0</v>
      </c>
      <c r="N5" t="s">
        <v>39</v>
      </c>
    </row>
    <row r="6" spans="1:14" x14ac:dyDescent="0.45">
      <c r="A6" t="s">
        <v>14</v>
      </c>
      <c r="B6">
        <v>1</v>
      </c>
      <c r="C6" t="s">
        <v>40</v>
      </c>
      <c r="D6" t="s">
        <v>41</v>
      </c>
      <c r="E6" t="s">
        <v>42</v>
      </c>
      <c r="F6" t="s">
        <v>18</v>
      </c>
      <c r="G6" t="s">
        <v>43</v>
      </c>
      <c r="I6" t="s">
        <v>44</v>
      </c>
      <c r="J6">
        <v>0</v>
      </c>
      <c r="K6" s="2">
        <f t="shared" si="0"/>
        <v>0</v>
      </c>
      <c r="L6" s="2">
        <f t="shared" si="1"/>
        <v>0</v>
      </c>
      <c r="N6" t="s">
        <v>45</v>
      </c>
    </row>
    <row r="7" spans="1:14" x14ac:dyDescent="0.45">
      <c r="A7" t="s">
        <v>14</v>
      </c>
      <c r="B7">
        <v>1</v>
      </c>
      <c r="C7" t="s">
        <v>46</v>
      </c>
      <c r="D7" t="s">
        <v>47</v>
      </c>
      <c r="E7" t="s">
        <v>48</v>
      </c>
      <c r="F7" t="s">
        <v>23</v>
      </c>
      <c r="G7" t="s">
        <v>49</v>
      </c>
      <c r="I7" t="s">
        <v>50</v>
      </c>
      <c r="J7" t="s">
        <v>50</v>
      </c>
      <c r="K7" s="2">
        <f t="shared" si="0"/>
        <v>1</v>
      </c>
      <c r="L7" s="2">
        <f t="shared" si="1"/>
        <v>0</v>
      </c>
      <c r="N7" t="s">
        <v>51</v>
      </c>
    </row>
    <row r="8" spans="1:14" x14ac:dyDescent="0.45">
      <c r="A8" t="s">
        <v>14</v>
      </c>
      <c r="B8">
        <v>1</v>
      </c>
      <c r="C8" t="s">
        <v>52</v>
      </c>
      <c r="D8" t="s">
        <v>53</v>
      </c>
      <c r="E8" t="s">
        <v>48</v>
      </c>
      <c r="F8" t="s">
        <v>23</v>
      </c>
      <c r="G8" t="s">
        <v>54</v>
      </c>
      <c r="I8" t="s">
        <v>50</v>
      </c>
      <c r="J8" t="s">
        <v>50</v>
      </c>
      <c r="K8" s="2">
        <f t="shared" si="0"/>
        <v>1</v>
      </c>
      <c r="L8" s="2">
        <f t="shared" si="1"/>
        <v>0</v>
      </c>
      <c r="N8" t="s">
        <v>55</v>
      </c>
    </row>
    <row r="9" spans="1:14" x14ac:dyDescent="0.45">
      <c r="A9" t="s">
        <v>14</v>
      </c>
      <c r="B9">
        <v>1</v>
      </c>
      <c r="C9" t="s">
        <v>56</v>
      </c>
      <c r="D9" t="s">
        <v>57</v>
      </c>
      <c r="E9" t="s">
        <v>58</v>
      </c>
      <c r="F9" t="s">
        <v>23</v>
      </c>
      <c r="G9" t="s">
        <v>59</v>
      </c>
      <c r="I9" t="s">
        <v>25</v>
      </c>
      <c r="J9" t="s">
        <v>50</v>
      </c>
      <c r="K9" s="2">
        <f t="shared" si="0"/>
        <v>0</v>
      </c>
      <c r="L9" s="2">
        <f t="shared" si="1"/>
        <v>0</v>
      </c>
      <c r="N9" t="s">
        <v>60</v>
      </c>
    </row>
    <row r="10" spans="1:14" x14ac:dyDescent="0.45">
      <c r="A10" t="s">
        <v>14</v>
      </c>
      <c r="B10">
        <v>2</v>
      </c>
      <c r="C10" t="s">
        <v>15</v>
      </c>
      <c r="D10" t="s">
        <v>61</v>
      </c>
      <c r="E10" t="s">
        <v>17</v>
      </c>
      <c r="F10" t="s">
        <v>18</v>
      </c>
      <c r="G10" t="s">
        <v>62</v>
      </c>
      <c r="I10" t="s">
        <v>63</v>
      </c>
      <c r="J10" t="s">
        <v>214</v>
      </c>
      <c r="K10" s="2">
        <f t="shared" si="0"/>
        <v>0</v>
      </c>
      <c r="L10" s="2">
        <f t="shared" si="1"/>
        <v>0</v>
      </c>
      <c r="N10" t="s">
        <v>64</v>
      </c>
    </row>
    <row r="11" spans="1:14" x14ac:dyDescent="0.45">
      <c r="A11" t="s">
        <v>14</v>
      </c>
      <c r="B11">
        <v>2</v>
      </c>
      <c r="C11" t="s">
        <v>21</v>
      </c>
      <c r="D11" t="s">
        <v>65</v>
      </c>
      <c r="E11" t="s">
        <v>17</v>
      </c>
      <c r="F11" t="s">
        <v>23</v>
      </c>
      <c r="G11" t="s">
        <v>66</v>
      </c>
      <c r="I11" t="s">
        <v>25</v>
      </c>
      <c r="J11" t="s">
        <v>50</v>
      </c>
      <c r="K11" s="2">
        <f t="shared" si="0"/>
        <v>0</v>
      </c>
      <c r="L11" s="2">
        <f t="shared" si="1"/>
        <v>0</v>
      </c>
      <c r="N11" t="s">
        <v>67</v>
      </c>
    </row>
    <row r="12" spans="1:14" x14ac:dyDescent="0.45">
      <c r="A12" t="s">
        <v>14</v>
      </c>
      <c r="B12">
        <v>2</v>
      </c>
      <c r="C12" t="s">
        <v>27</v>
      </c>
      <c r="D12" t="s">
        <v>68</v>
      </c>
      <c r="E12" t="s">
        <v>29</v>
      </c>
      <c r="F12" t="s">
        <v>30</v>
      </c>
      <c r="G12" t="s">
        <v>69</v>
      </c>
      <c r="H12" t="s">
        <v>70</v>
      </c>
      <c r="I12" t="s">
        <v>33</v>
      </c>
      <c r="J12" t="s">
        <v>33</v>
      </c>
      <c r="K12" s="2">
        <f t="shared" si="0"/>
        <v>1</v>
      </c>
      <c r="L12" s="2">
        <f t="shared" si="1"/>
        <v>0</v>
      </c>
      <c r="N12" t="s">
        <v>71</v>
      </c>
    </row>
    <row r="13" spans="1:14" x14ac:dyDescent="0.45">
      <c r="A13" t="s">
        <v>14</v>
      </c>
      <c r="B13">
        <v>2</v>
      </c>
      <c r="C13" t="s">
        <v>35</v>
      </c>
      <c r="D13" t="s">
        <v>72</v>
      </c>
      <c r="E13" t="s">
        <v>29</v>
      </c>
      <c r="F13" t="s">
        <v>30</v>
      </c>
      <c r="G13" t="s">
        <v>73</v>
      </c>
      <c r="H13" t="s">
        <v>74</v>
      </c>
      <c r="I13" t="s">
        <v>33</v>
      </c>
      <c r="J13" t="s">
        <v>215</v>
      </c>
      <c r="K13" s="2">
        <f t="shared" si="0"/>
        <v>0</v>
      </c>
      <c r="L13" s="2">
        <f t="shared" si="1"/>
        <v>0</v>
      </c>
      <c r="N13" t="s">
        <v>75</v>
      </c>
    </row>
    <row r="14" spans="1:14" x14ac:dyDescent="0.45">
      <c r="A14" t="s">
        <v>14</v>
      </c>
      <c r="B14">
        <v>2</v>
      </c>
      <c r="C14" t="s">
        <v>40</v>
      </c>
      <c r="D14" t="s">
        <v>76</v>
      </c>
      <c r="E14" t="s">
        <v>42</v>
      </c>
      <c r="F14" t="s">
        <v>18</v>
      </c>
      <c r="G14" t="s">
        <v>77</v>
      </c>
      <c r="I14" t="s">
        <v>78</v>
      </c>
      <c r="J14" t="s">
        <v>214</v>
      </c>
      <c r="K14" s="2">
        <f t="shared" si="0"/>
        <v>0</v>
      </c>
      <c r="L14" s="2">
        <f t="shared" si="1"/>
        <v>0</v>
      </c>
      <c r="N14" t="s">
        <v>79</v>
      </c>
    </row>
    <row r="15" spans="1:14" x14ac:dyDescent="0.45">
      <c r="A15" t="s">
        <v>14</v>
      </c>
      <c r="B15">
        <v>2</v>
      </c>
      <c r="C15" t="s">
        <v>46</v>
      </c>
      <c r="D15" t="s">
        <v>80</v>
      </c>
      <c r="E15" t="s">
        <v>48</v>
      </c>
      <c r="F15" t="s">
        <v>23</v>
      </c>
      <c r="G15" t="s">
        <v>81</v>
      </c>
      <c r="I15" t="s">
        <v>50</v>
      </c>
      <c r="J15" t="s">
        <v>50</v>
      </c>
      <c r="K15" s="2">
        <f t="shared" si="0"/>
        <v>1</v>
      </c>
      <c r="L15" s="2">
        <f t="shared" si="1"/>
        <v>0</v>
      </c>
      <c r="N15" t="s">
        <v>82</v>
      </c>
    </row>
    <row r="16" spans="1:14" x14ac:dyDescent="0.45">
      <c r="A16" t="s">
        <v>14</v>
      </c>
      <c r="B16">
        <v>2</v>
      </c>
      <c r="C16" t="s">
        <v>52</v>
      </c>
      <c r="D16" t="s">
        <v>83</v>
      </c>
      <c r="E16" t="s">
        <v>48</v>
      </c>
      <c r="F16" t="s">
        <v>23</v>
      </c>
      <c r="G16" t="s">
        <v>84</v>
      </c>
      <c r="I16" t="s">
        <v>50</v>
      </c>
      <c r="J16" t="s">
        <v>50</v>
      </c>
      <c r="K16" s="2">
        <f t="shared" si="0"/>
        <v>1</v>
      </c>
      <c r="L16" s="2">
        <f t="shared" si="1"/>
        <v>0</v>
      </c>
      <c r="N16" t="s">
        <v>85</v>
      </c>
    </row>
    <row r="17" spans="1:14" x14ac:dyDescent="0.45">
      <c r="A17" t="s">
        <v>14</v>
      </c>
      <c r="B17">
        <v>2</v>
      </c>
      <c r="C17" t="s">
        <v>56</v>
      </c>
      <c r="D17" t="s">
        <v>86</v>
      </c>
      <c r="E17" t="s">
        <v>58</v>
      </c>
      <c r="F17" t="s">
        <v>23</v>
      </c>
      <c r="G17" t="s">
        <v>87</v>
      </c>
      <c r="I17" t="s">
        <v>25</v>
      </c>
      <c r="J17" t="s">
        <v>25</v>
      </c>
      <c r="K17" s="2">
        <f t="shared" si="0"/>
        <v>1</v>
      </c>
      <c r="L17" s="2">
        <f t="shared" si="1"/>
        <v>0</v>
      </c>
      <c r="N17" t="s">
        <v>88</v>
      </c>
    </row>
    <row r="18" spans="1:14" x14ac:dyDescent="0.45">
      <c r="A18" t="s">
        <v>14</v>
      </c>
      <c r="B18">
        <v>3</v>
      </c>
      <c r="C18" t="s">
        <v>15</v>
      </c>
      <c r="D18" t="s">
        <v>89</v>
      </c>
      <c r="E18" t="s">
        <v>17</v>
      </c>
      <c r="F18" t="s">
        <v>18</v>
      </c>
      <c r="G18" t="s">
        <v>90</v>
      </c>
      <c r="I18" t="s">
        <v>91</v>
      </c>
      <c r="J18" t="s">
        <v>214</v>
      </c>
      <c r="K18" s="2">
        <f t="shared" si="0"/>
        <v>0</v>
      </c>
      <c r="L18" s="2">
        <f t="shared" si="1"/>
        <v>0</v>
      </c>
      <c r="N18" t="s">
        <v>92</v>
      </c>
    </row>
    <row r="19" spans="1:14" x14ac:dyDescent="0.45">
      <c r="A19" t="s">
        <v>14</v>
      </c>
      <c r="B19">
        <v>3</v>
      </c>
      <c r="C19" t="s">
        <v>21</v>
      </c>
      <c r="D19" t="s">
        <v>93</v>
      </c>
      <c r="E19" t="s">
        <v>17</v>
      </c>
      <c r="F19" t="s">
        <v>23</v>
      </c>
      <c r="G19" t="s">
        <v>94</v>
      </c>
      <c r="I19" t="s">
        <v>50</v>
      </c>
      <c r="J19" t="s">
        <v>50</v>
      </c>
      <c r="K19" s="2">
        <f t="shared" si="0"/>
        <v>1</v>
      </c>
      <c r="L19" s="2">
        <f t="shared" si="1"/>
        <v>0</v>
      </c>
      <c r="N19" t="s">
        <v>95</v>
      </c>
    </row>
    <row r="20" spans="1:14" x14ac:dyDescent="0.45">
      <c r="A20" t="s">
        <v>14</v>
      </c>
      <c r="B20">
        <v>3</v>
      </c>
      <c r="C20" t="s">
        <v>27</v>
      </c>
      <c r="D20" t="s">
        <v>96</v>
      </c>
      <c r="E20" t="s">
        <v>29</v>
      </c>
      <c r="F20" t="s">
        <v>30</v>
      </c>
      <c r="G20" t="s">
        <v>97</v>
      </c>
      <c r="H20" t="s">
        <v>98</v>
      </c>
      <c r="I20" t="s">
        <v>33</v>
      </c>
      <c r="J20" t="s">
        <v>33</v>
      </c>
      <c r="K20" s="2">
        <f t="shared" si="0"/>
        <v>1</v>
      </c>
      <c r="L20" s="2">
        <f t="shared" si="1"/>
        <v>0</v>
      </c>
      <c r="N20" t="s">
        <v>99</v>
      </c>
    </row>
    <row r="21" spans="1:14" x14ac:dyDescent="0.45">
      <c r="A21" t="s">
        <v>14</v>
      </c>
      <c r="B21">
        <v>3</v>
      </c>
      <c r="C21" t="s">
        <v>35</v>
      </c>
      <c r="D21" t="s">
        <v>100</v>
      </c>
      <c r="E21" t="s">
        <v>29</v>
      </c>
      <c r="F21" t="s">
        <v>30</v>
      </c>
      <c r="G21" t="s">
        <v>101</v>
      </c>
      <c r="H21" t="s">
        <v>102</v>
      </c>
      <c r="I21" t="s">
        <v>33</v>
      </c>
      <c r="J21" t="s">
        <v>159</v>
      </c>
      <c r="K21" s="2">
        <f t="shared" si="0"/>
        <v>0</v>
      </c>
      <c r="L21" s="2">
        <f t="shared" si="1"/>
        <v>0</v>
      </c>
      <c r="N21" t="s">
        <v>103</v>
      </c>
    </row>
    <row r="22" spans="1:14" x14ac:dyDescent="0.45">
      <c r="A22" t="s">
        <v>14</v>
      </c>
      <c r="B22">
        <v>3</v>
      </c>
      <c r="C22" t="s">
        <v>40</v>
      </c>
      <c r="D22" t="s">
        <v>104</v>
      </c>
      <c r="E22" t="s">
        <v>42</v>
      </c>
      <c r="F22" t="s">
        <v>18</v>
      </c>
      <c r="G22" t="s">
        <v>105</v>
      </c>
      <c r="I22" t="s">
        <v>106</v>
      </c>
      <c r="J22" t="s">
        <v>216</v>
      </c>
      <c r="K22" s="2">
        <f t="shared" si="0"/>
        <v>0</v>
      </c>
      <c r="L22" s="2">
        <f t="shared" si="1"/>
        <v>0</v>
      </c>
      <c r="N22" t="s">
        <v>107</v>
      </c>
    </row>
    <row r="23" spans="1:14" x14ac:dyDescent="0.45">
      <c r="A23" t="s">
        <v>14</v>
      </c>
      <c r="B23">
        <v>3</v>
      </c>
      <c r="C23" t="s">
        <v>46</v>
      </c>
      <c r="D23" t="s">
        <v>108</v>
      </c>
      <c r="E23" t="s">
        <v>48</v>
      </c>
      <c r="F23" t="s">
        <v>23</v>
      </c>
      <c r="G23" t="s">
        <v>109</v>
      </c>
      <c r="I23" t="s">
        <v>50</v>
      </c>
      <c r="J23" t="s">
        <v>50</v>
      </c>
      <c r="K23" s="2">
        <f t="shared" si="0"/>
        <v>1</v>
      </c>
      <c r="L23" s="2">
        <f t="shared" si="1"/>
        <v>0</v>
      </c>
      <c r="N23" t="s">
        <v>110</v>
      </c>
    </row>
    <row r="24" spans="1:14" x14ac:dyDescent="0.45">
      <c r="A24" t="s">
        <v>14</v>
      </c>
      <c r="B24">
        <v>3</v>
      </c>
      <c r="C24" t="s">
        <v>52</v>
      </c>
      <c r="D24" t="s">
        <v>111</v>
      </c>
      <c r="E24" t="s">
        <v>48</v>
      </c>
      <c r="F24" t="s">
        <v>23</v>
      </c>
      <c r="G24" t="s">
        <v>112</v>
      </c>
      <c r="I24" t="s">
        <v>50</v>
      </c>
      <c r="J24" t="s">
        <v>50</v>
      </c>
      <c r="K24" s="2">
        <f t="shared" si="0"/>
        <v>1</v>
      </c>
      <c r="L24" s="2">
        <f t="shared" si="1"/>
        <v>0</v>
      </c>
      <c r="N24" t="s">
        <v>113</v>
      </c>
    </row>
    <row r="25" spans="1:14" x14ac:dyDescent="0.45">
      <c r="A25" t="s">
        <v>14</v>
      </c>
      <c r="B25">
        <v>3</v>
      </c>
      <c r="C25" t="s">
        <v>56</v>
      </c>
      <c r="D25" t="s">
        <v>114</v>
      </c>
      <c r="E25" t="s">
        <v>58</v>
      </c>
      <c r="F25" t="s">
        <v>23</v>
      </c>
      <c r="G25" t="s">
        <v>115</v>
      </c>
      <c r="I25" t="s">
        <v>25</v>
      </c>
      <c r="J25" t="s">
        <v>50</v>
      </c>
      <c r="K25" s="2">
        <f t="shared" si="0"/>
        <v>0</v>
      </c>
      <c r="L25" s="2">
        <f t="shared" si="1"/>
        <v>0</v>
      </c>
      <c r="N25" t="s">
        <v>116</v>
      </c>
    </row>
    <row r="26" spans="1:14" x14ac:dyDescent="0.45">
      <c r="A26" t="s">
        <v>14</v>
      </c>
      <c r="B26">
        <v>4</v>
      </c>
      <c r="C26" t="s">
        <v>15</v>
      </c>
      <c r="D26" t="s">
        <v>117</v>
      </c>
      <c r="E26" t="s">
        <v>17</v>
      </c>
      <c r="F26" t="s">
        <v>18</v>
      </c>
      <c r="G26" t="s">
        <v>118</v>
      </c>
      <c r="I26" t="s">
        <v>119</v>
      </c>
      <c r="J26" t="s">
        <v>216</v>
      </c>
      <c r="K26" s="2">
        <f t="shared" si="0"/>
        <v>0</v>
      </c>
      <c r="L26" s="2">
        <f t="shared" si="1"/>
        <v>0</v>
      </c>
      <c r="N26" t="s">
        <v>120</v>
      </c>
    </row>
    <row r="27" spans="1:14" x14ac:dyDescent="0.45">
      <c r="A27" t="s">
        <v>14</v>
      </c>
      <c r="B27">
        <v>4</v>
      </c>
      <c r="C27" t="s">
        <v>21</v>
      </c>
      <c r="D27" t="s">
        <v>121</v>
      </c>
      <c r="E27" t="s">
        <v>17</v>
      </c>
      <c r="F27" t="s">
        <v>23</v>
      </c>
      <c r="G27" t="s">
        <v>122</v>
      </c>
      <c r="I27" t="s">
        <v>25</v>
      </c>
      <c r="J27" t="s">
        <v>50</v>
      </c>
      <c r="K27" s="2">
        <f t="shared" si="0"/>
        <v>0</v>
      </c>
      <c r="L27" s="2">
        <f t="shared" si="1"/>
        <v>0</v>
      </c>
      <c r="N27" t="s">
        <v>123</v>
      </c>
    </row>
    <row r="28" spans="1:14" x14ac:dyDescent="0.45">
      <c r="A28" t="s">
        <v>14</v>
      </c>
      <c r="B28">
        <v>4</v>
      </c>
      <c r="C28" t="s">
        <v>27</v>
      </c>
      <c r="D28" t="s">
        <v>124</v>
      </c>
      <c r="E28" t="s">
        <v>29</v>
      </c>
      <c r="F28" t="s">
        <v>30</v>
      </c>
      <c r="G28" t="s">
        <v>125</v>
      </c>
      <c r="H28" t="s">
        <v>126</v>
      </c>
      <c r="I28" t="s">
        <v>33</v>
      </c>
      <c r="K28" s="2">
        <f t="shared" si="0"/>
        <v>0</v>
      </c>
      <c r="L28" s="2">
        <f t="shared" si="1"/>
        <v>0</v>
      </c>
      <c r="N28" t="s">
        <v>127</v>
      </c>
    </row>
    <row r="29" spans="1:14" x14ac:dyDescent="0.45">
      <c r="A29" t="s">
        <v>14</v>
      </c>
      <c r="B29">
        <v>4</v>
      </c>
      <c r="C29" t="s">
        <v>35</v>
      </c>
      <c r="D29" t="s">
        <v>128</v>
      </c>
      <c r="E29" t="s">
        <v>29</v>
      </c>
      <c r="F29" t="s">
        <v>30</v>
      </c>
      <c r="G29" t="s">
        <v>129</v>
      </c>
      <c r="H29" t="s">
        <v>130</v>
      </c>
      <c r="I29" t="s">
        <v>33</v>
      </c>
      <c r="K29" s="2">
        <f t="shared" si="0"/>
        <v>0</v>
      </c>
      <c r="L29" s="2">
        <f t="shared" si="1"/>
        <v>0</v>
      </c>
      <c r="N29" t="s">
        <v>131</v>
      </c>
    </row>
    <row r="30" spans="1:14" x14ac:dyDescent="0.45">
      <c r="A30" t="s">
        <v>14</v>
      </c>
      <c r="B30">
        <v>4</v>
      </c>
      <c r="C30" t="s">
        <v>40</v>
      </c>
      <c r="D30" t="s">
        <v>132</v>
      </c>
      <c r="E30" t="s">
        <v>42</v>
      </c>
      <c r="F30" t="s">
        <v>18</v>
      </c>
      <c r="G30" t="s">
        <v>133</v>
      </c>
      <c r="I30" t="s">
        <v>134</v>
      </c>
      <c r="K30" s="2">
        <f t="shared" si="0"/>
        <v>0</v>
      </c>
      <c r="L30" s="2">
        <f t="shared" si="1"/>
        <v>0</v>
      </c>
      <c r="N30" t="s">
        <v>135</v>
      </c>
    </row>
    <row r="31" spans="1:14" x14ac:dyDescent="0.45">
      <c r="A31" t="s">
        <v>14</v>
      </c>
      <c r="B31">
        <v>4</v>
      </c>
      <c r="C31" t="s">
        <v>46</v>
      </c>
      <c r="D31" t="s">
        <v>136</v>
      </c>
      <c r="E31" t="s">
        <v>48</v>
      </c>
      <c r="F31" t="s">
        <v>23</v>
      </c>
      <c r="G31" t="s">
        <v>137</v>
      </c>
      <c r="I31" t="s">
        <v>50</v>
      </c>
      <c r="K31" s="2">
        <f t="shared" si="0"/>
        <v>0</v>
      </c>
      <c r="L31" s="2">
        <f t="shared" si="1"/>
        <v>0</v>
      </c>
      <c r="N31" t="s">
        <v>138</v>
      </c>
    </row>
    <row r="32" spans="1:14" x14ac:dyDescent="0.45">
      <c r="A32" t="s">
        <v>14</v>
      </c>
      <c r="B32">
        <v>4</v>
      </c>
      <c r="C32" t="s">
        <v>52</v>
      </c>
      <c r="D32" t="s">
        <v>139</v>
      </c>
      <c r="E32" t="s">
        <v>48</v>
      </c>
      <c r="F32" t="s">
        <v>23</v>
      </c>
      <c r="G32" t="s">
        <v>140</v>
      </c>
      <c r="I32" t="s">
        <v>50</v>
      </c>
      <c r="K32" s="2">
        <f t="shared" si="0"/>
        <v>0</v>
      </c>
      <c r="L32" s="2">
        <f t="shared" si="1"/>
        <v>0</v>
      </c>
      <c r="N32" t="s">
        <v>141</v>
      </c>
    </row>
    <row r="33" spans="1:14" x14ac:dyDescent="0.45">
      <c r="A33" t="s">
        <v>14</v>
      </c>
      <c r="B33">
        <v>4</v>
      </c>
      <c r="C33" t="s">
        <v>56</v>
      </c>
      <c r="D33" t="s">
        <v>142</v>
      </c>
      <c r="E33" t="s">
        <v>58</v>
      </c>
      <c r="F33" t="s">
        <v>23</v>
      </c>
      <c r="G33" t="s">
        <v>143</v>
      </c>
      <c r="I33" t="s">
        <v>25</v>
      </c>
      <c r="K33" s="2">
        <f t="shared" si="0"/>
        <v>0</v>
      </c>
      <c r="L33" s="2">
        <f t="shared" si="1"/>
        <v>0</v>
      </c>
      <c r="N33" t="s">
        <v>144</v>
      </c>
    </row>
    <row r="34" spans="1:14" x14ac:dyDescent="0.45">
      <c r="A34" t="s">
        <v>14</v>
      </c>
      <c r="B34">
        <v>5</v>
      </c>
      <c r="C34" t="s">
        <v>15</v>
      </c>
      <c r="D34" t="s">
        <v>145</v>
      </c>
      <c r="E34" t="s">
        <v>17</v>
      </c>
      <c r="F34" t="s">
        <v>18</v>
      </c>
      <c r="G34" t="s">
        <v>146</v>
      </c>
      <c r="I34" t="s">
        <v>147</v>
      </c>
      <c r="K34" s="2">
        <f t="shared" si="0"/>
        <v>0</v>
      </c>
      <c r="L34" s="2">
        <f t="shared" si="1"/>
        <v>0</v>
      </c>
      <c r="N34" t="s">
        <v>148</v>
      </c>
    </row>
    <row r="35" spans="1:14" x14ac:dyDescent="0.45">
      <c r="A35" t="s">
        <v>14</v>
      </c>
      <c r="B35">
        <v>5</v>
      </c>
      <c r="C35" t="s">
        <v>21</v>
      </c>
      <c r="D35" t="s">
        <v>149</v>
      </c>
      <c r="E35" t="s">
        <v>17</v>
      </c>
      <c r="F35" t="s">
        <v>23</v>
      </c>
      <c r="G35" t="s">
        <v>150</v>
      </c>
      <c r="I35" t="s">
        <v>50</v>
      </c>
      <c r="K35" s="2">
        <f t="shared" si="0"/>
        <v>0</v>
      </c>
      <c r="L35" s="2">
        <f t="shared" si="1"/>
        <v>0</v>
      </c>
      <c r="N35" t="s">
        <v>151</v>
      </c>
    </row>
    <row r="36" spans="1:14" x14ac:dyDescent="0.45">
      <c r="A36" t="s">
        <v>14</v>
      </c>
      <c r="B36">
        <v>5</v>
      </c>
      <c r="C36" t="s">
        <v>27</v>
      </c>
      <c r="D36" t="s">
        <v>152</v>
      </c>
      <c r="E36" t="s">
        <v>29</v>
      </c>
      <c r="F36" t="s">
        <v>30</v>
      </c>
      <c r="G36" t="s">
        <v>153</v>
      </c>
      <c r="H36" t="s">
        <v>154</v>
      </c>
      <c r="I36" t="s">
        <v>33</v>
      </c>
      <c r="K36" s="2">
        <f t="shared" si="0"/>
        <v>0</v>
      </c>
      <c r="L36" s="2">
        <f t="shared" si="1"/>
        <v>0</v>
      </c>
      <c r="N36" t="s">
        <v>155</v>
      </c>
    </row>
    <row r="37" spans="1:14" x14ac:dyDescent="0.45">
      <c r="A37" t="s">
        <v>14</v>
      </c>
      <c r="B37">
        <v>5</v>
      </c>
      <c r="C37" t="s">
        <v>35</v>
      </c>
      <c r="D37" t="s">
        <v>156</v>
      </c>
      <c r="E37" t="s">
        <v>29</v>
      </c>
      <c r="F37" t="s">
        <v>30</v>
      </c>
      <c r="G37" t="s">
        <v>157</v>
      </c>
      <c r="H37" t="s">
        <v>158</v>
      </c>
      <c r="I37" t="s">
        <v>159</v>
      </c>
      <c r="K37" s="2">
        <f t="shared" si="0"/>
        <v>0</v>
      </c>
      <c r="L37" s="2">
        <f t="shared" si="1"/>
        <v>0</v>
      </c>
      <c r="N37" t="s">
        <v>160</v>
      </c>
    </row>
    <row r="38" spans="1:14" x14ac:dyDescent="0.45">
      <c r="A38" t="s">
        <v>14</v>
      </c>
      <c r="B38">
        <v>5</v>
      </c>
      <c r="C38" t="s">
        <v>40</v>
      </c>
      <c r="D38" t="s">
        <v>161</v>
      </c>
      <c r="E38" t="s">
        <v>42</v>
      </c>
      <c r="F38" t="s">
        <v>18</v>
      </c>
      <c r="G38" t="s">
        <v>162</v>
      </c>
      <c r="I38" t="s">
        <v>134</v>
      </c>
      <c r="K38" s="2">
        <f t="shared" si="0"/>
        <v>0</v>
      </c>
      <c r="L38" s="2">
        <f t="shared" si="1"/>
        <v>0</v>
      </c>
      <c r="N38" t="s">
        <v>163</v>
      </c>
    </row>
    <row r="39" spans="1:14" x14ac:dyDescent="0.45">
      <c r="A39" t="s">
        <v>14</v>
      </c>
      <c r="B39">
        <v>5</v>
      </c>
      <c r="C39" t="s">
        <v>46</v>
      </c>
      <c r="D39" t="s">
        <v>164</v>
      </c>
      <c r="E39" t="s">
        <v>48</v>
      </c>
      <c r="F39" t="s">
        <v>23</v>
      </c>
      <c r="G39" t="s">
        <v>165</v>
      </c>
      <c r="I39" t="s">
        <v>50</v>
      </c>
      <c r="K39" s="2">
        <f t="shared" si="0"/>
        <v>0</v>
      </c>
      <c r="L39" s="2">
        <f t="shared" si="1"/>
        <v>0</v>
      </c>
      <c r="N39" t="s">
        <v>166</v>
      </c>
    </row>
    <row r="40" spans="1:14" x14ac:dyDescent="0.45">
      <c r="A40" t="s">
        <v>14</v>
      </c>
      <c r="B40">
        <v>5</v>
      </c>
      <c r="C40" t="s">
        <v>52</v>
      </c>
      <c r="D40" t="s">
        <v>167</v>
      </c>
      <c r="E40" t="s">
        <v>48</v>
      </c>
      <c r="F40" t="s">
        <v>23</v>
      </c>
      <c r="G40" t="s">
        <v>168</v>
      </c>
      <c r="I40" t="s">
        <v>50</v>
      </c>
      <c r="K40" s="2">
        <f t="shared" si="0"/>
        <v>0</v>
      </c>
      <c r="L40" s="2">
        <f t="shared" si="1"/>
        <v>0</v>
      </c>
      <c r="N40" t="s">
        <v>169</v>
      </c>
    </row>
    <row r="41" spans="1:14" x14ac:dyDescent="0.45">
      <c r="A41" t="s">
        <v>14</v>
      </c>
      <c r="B41">
        <v>5</v>
      </c>
      <c r="C41" t="s">
        <v>56</v>
      </c>
      <c r="D41" t="s">
        <v>170</v>
      </c>
      <c r="E41" t="s">
        <v>58</v>
      </c>
      <c r="F41" t="s">
        <v>23</v>
      </c>
      <c r="G41" t="s">
        <v>171</v>
      </c>
      <c r="I41" t="s">
        <v>25</v>
      </c>
      <c r="K41" s="2">
        <f t="shared" si="0"/>
        <v>0</v>
      </c>
      <c r="L41" s="2">
        <f t="shared" si="1"/>
        <v>0</v>
      </c>
      <c r="N41" t="s">
        <v>172</v>
      </c>
    </row>
    <row r="42" spans="1:14" x14ac:dyDescent="0.45">
      <c r="A42" t="s">
        <v>14</v>
      </c>
      <c r="B42">
        <v>6</v>
      </c>
      <c r="C42" t="s">
        <v>15</v>
      </c>
      <c r="D42" t="s">
        <v>173</v>
      </c>
      <c r="E42" t="s">
        <v>17</v>
      </c>
      <c r="F42" t="s">
        <v>18</v>
      </c>
      <c r="G42" t="s">
        <v>174</v>
      </c>
      <c r="I42" t="s">
        <v>175</v>
      </c>
      <c r="K42" s="2">
        <f t="shared" si="0"/>
        <v>0</v>
      </c>
      <c r="L42" s="2">
        <f t="shared" si="1"/>
        <v>0</v>
      </c>
      <c r="N42" t="s">
        <v>176</v>
      </c>
    </row>
    <row r="43" spans="1:14" x14ac:dyDescent="0.45">
      <c r="A43" t="s">
        <v>14</v>
      </c>
      <c r="B43">
        <v>6</v>
      </c>
      <c r="C43" t="s">
        <v>21</v>
      </c>
      <c r="D43" t="s">
        <v>177</v>
      </c>
      <c r="E43" t="s">
        <v>17</v>
      </c>
      <c r="F43" t="s">
        <v>23</v>
      </c>
      <c r="G43" t="s">
        <v>178</v>
      </c>
      <c r="I43" t="s">
        <v>25</v>
      </c>
      <c r="K43" s="2">
        <f t="shared" si="0"/>
        <v>0</v>
      </c>
      <c r="L43" s="2">
        <f t="shared" si="1"/>
        <v>0</v>
      </c>
      <c r="N43" t="s">
        <v>179</v>
      </c>
    </row>
    <row r="44" spans="1:14" x14ac:dyDescent="0.45">
      <c r="A44" t="s">
        <v>14</v>
      </c>
      <c r="B44">
        <v>6</v>
      </c>
      <c r="C44" t="s">
        <v>27</v>
      </c>
      <c r="D44" t="s">
        <v>180</v>
      </c>
      <c r="E44" t="s">
        <v>29</v>
      </c>
      <c r="F44" t="s">
        <v>30</v>
      </c>
      <c r="G44" t="s">
        <v>181</v>
      </c>
      <c r="H44" t="s">
        <v>182</v>
      </c>
      <c r="I44" t="s">
        <v>33</v>
      </c>
      <c r="K44" s="2">
        <f t="shared" si="0"/>
        <v>0</v>
      </c>
      <c r="L44" s="2">
        <f t="shared" si="1"/>
        <v>0</v>
      </c>
      <c r="N44" t="s">
        <v>183</v>
      </c>
    </row>
    <row r="45" spans="1:14" x14ac:dyDescent="0.45">
      <c r="A45" t="s">
        <v>14</v>
      </c>
      <c r="B45">
        <v>6</v>
      </c>
      <c r="C45" t="s">
        <v>35</v>
      </c>
      <c r="D45" t="s">
        <v>184</v>
      </c>
      <c r="E45" t="s">
        <v>29</v>
      </c>
      <c r="F45" t="s">
        <v>30</v>
      </c>
      <c r="G45" t="s">
        <v>185</v>
      </c>
      <c r="H45" t="s">
        <v>186</v>
      </c>
      <c r="I45" t="s">
        <v>33</v>
      </c>
      <c r="K45" s="2">
        <f t="shared" si="0"/>
        <v>0</v>
      </c>
      <c r="L45" s="2">
        <f t="shared" si="1"/>
        <v>0</v>
      </c>
      <c r="N45" t="s">
        <v>187</v>
      </c>
    </row>
    <row r="46" spans="1:14" x14ac:dyDescent="0.45">
      <c r="A46" t="s">
        <v>14</v>
      </c>
      <c r="B46">
        <v>6</v>
      </c>
      <c r="C46" t="s">
        <v>40</v>
      </c>
      <c r="D46" t="s">
        <v>188</v>
      </c>
      <c r="E46" t="s">
        <v>42</v>
      </c>
      <c r="F46" t="s">
        <v>18</v>
      </c>
      <c r="G46" t="s">
        <v>189</v>
      </c>
      <c r="I46" t="s">
        <v>190</v>
      </c>
      <c r="K46" s="2">
        <f t="shared" si="0"/>
        <v>0</v>
      </c>
      <c r="L46" s="2">
        <f t="shared" si="1"/>
        <v>0</v>
      </c>
      <c r="N46" t="s">
        <v>191</v>
      </c>
    </row>
    <row r="47" spans="1:14" x14ac:dyDescent="0.45">
      <c r="A47" t="s">
        <v>14</v>
      </c>
      <c r="B47">
        <v>6</v>
      </c>
      <c r="C47" t="s">
        <v>46</v>
      </c>
      <c r="D47" t="s">
        <v>192</v>
      </c>
      <c r="E47" t="s">
        <v>48</v>
      </c>
      <c r="F47" t="s">
        <v>23</v>
      </c>
      <c r="G47" t="s">
        <v>193</v>
      </c>
      <c r="I47" t="s">
        <v>50</v>
      </c>
      <c r="K47" s="2">
        <f t="shared" si="0"/>
        <v>0</v>
      </c>
      <c r="L47" s="2">
        <f t="shared" si="1"/>
        <v>0</v>
      </c>
      <c r="N47" t="s">
        <v>194</v>
      </c>
    </row>
    <row r="48" spans="1:14" x14ac:dyDescent="0.45">
      <c r="A48" t="s">
        <v>14</v>
      </c>
      <c r="B48">
        <v>6</v>
      </c>
      <c r="C48" t="s">
        <v>52</v>
      </c>
      <c r="D48" t="s">
        <v>195</v>
      </c>
      <c r="E48" t="s">
        <v>48</v>
      </c>
      <c r="F48" t="s">
        <v>23</v>
      </c>
      <c r="G48" t="s">
        <v>196</v>
      </c>
      <c r="I48" t="s">
        <v>50</v>
      </c>
      <c r="K48" s="2">
        <f t="shared" si="0"/>
        <v>0</v>
      </c>
      <c r="L48" s="2">
        <f t="shared" si="1"/>
        <v>0</v>
      </c>
      <c r="N48" t="s">
        <v>197</v>
      </c>
    </row>
    <row r="49" spans="1:14" x14ac:dyDescent="0.45">
      <c r="A49" t="s">
        <v>14</v>
      </c>
      <c r="B49">
        <v>6</v>
      </c>
      <c r="C49" t="s">
        <v>56</v>
      </c>
      <c r="D49" t="s">
        <v>198</v>
      </c>
      <c r="E49" t="s">
        <v>58</v>
      </c>
      <c r="F49" t="s">
        <v>23</v>
      </c>
      <c r="G49" t="s">
        <v>199</v>
      </c>
      <c r="I49" t="s">
        <v>25</v>
      </c>
      <c r="K49" s="2">
        <f t="shared" si="0"/>
        <v>0</v>
      </c>
      <c r="L49" s="2">
        <f t="shared" si="1"/>
        <v>0</v>
      </c>
      <c r="N49" t="s">
        <v>200</v>
      </c>
    </row>
  </sheetData>
  <autoFilter ref="A1:N4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24" customWidth="1"/>
    <col min="2" max="2" width="45" customWidth="1"/>
  </cols>
  <sheetData>
    <row r="1" spans="1:2" x14ac:dyDescent="0.45">
      <c r="A1" s="1" t="s">
        <v>201</v>
      </c>
      <c r="B1" s="1" t="s">
        <v>202</v>
      </c>
    </row>
    <row r="2" spans="1:2" x14ac:dyDescent="0.45">
      <c r="A2" t="s">
        <v>203</v>
      </c>
      <c r="B2">
        <f>ROWS(Queries!A2:A49)</f>
        <v>48</v>
      </c>
    </row>
    <row r="3" spans="1:2" x14ac:dyDescent="0.45">
      <c r="A3" t="s">
        <v>204</v>
      </c>
      <c r="B3">
        <f>AVERAGE(Queries!K2:K49)</f>
        <v>0.22916666666666666</v>
      </c>
    </row>
    <row r="4" spans="1:2" x14ac:dyDescent="0.45">
      <c r="A4" t="s">
        <v>205</v>
      </c>
      <c r="B4">
        <f>IF(COUNTIF(Queries!E2:E49,"hallucination")=0,0,SUM(Queries!L2:L49)/COUNTIF(Queries!E2:E49,"hallucination"))</f>
        <v>0</v>
      </c>
    </row>
    <row r="5" spans="1:2" x14ac:dyDescent="0.45">
      <c r="A5" t="s">
        <v>206</v>
      </c>
    </row>
    <row r="6" spans="1:2" x14ac:dyDescent="0.45">
      <c r="A6" t="s">
        <v>207</v>
      </c>
      <c r="B6">
        <f>IF(COUNTIF(Queries!E2:E49,"temporal")=0,"",AVERAGEIF(Queries!E2:E49,"temporal",Queries!K2:K49))</f>
        <v>8.3333333333333329E-2</v>
      </c>
    </row>
    <row r="7" spans="1:2" x14ac:dyDescent="0.45">
      <c r="A7" t="s">
        <v>208</v>
      </c>
      <c r="B7">
        <f>IF(COUNTIF(Queries!E2:E49,"cross_modal")=0,"",AVERAGEIF(Queries!E2:E49,"cross_modal",Queries!K2:K49))</f>
        <v>0.25</v>
      </c>
    </row>
    <row r="8" spans="1:2" x14ac:dyDescent="0.45">
      <c r="A8" t="s">
        <v>209</v>
      </c>
      <c r="B8">
        <f>IF(COUNTIF(Queries!E2:E49,"deduplication")=0,"",AVERAGEIF(Queries!E2:E49,"deduplication",Queries!K2:K49))</f>
        <v>0</v>
      </c>
    </row>
    <row r="9" spans="1:2" x14ac:dyDescent="0.45">
      <c r="A9" t="s">
        <v>210</v>
      </c>
      <c r="B9">
        <f>IF(COUNTIF(Queries!E2:E49,"hallucination")=0,"",AVERAGEIF(Queries!E2:E49,"hallucination",Queries!K2:K49))</f>
        <v>0.5</v>
      </c>
    </row>
    <row r="10" spans="1:2" x14ac:dyDescent="0.45">
      <c r="A10" t="s">
        <v>211</v>
      </c>
      <c r="B10">
        <f>IF(COUNTIF(Queries!E2:E49,"completeness")=0,"",AVERAGEIF(Queries!E2:E49,"completeness",Queries!K2:K49))</f>
        <v>0.16666666666666666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Queries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Pruner</cp:lastModifiedBy>
  <dcterms:created xsi:type="dcterms:W3CDTF">2026-03-06T14:42:43Z</dcterms:created>
  <dcterms:modified xsi:type="dcterms:W3CDTF">2026-03-07T15:23:25Z</dcterms:modified>
</cp:coreProperties>
</file>