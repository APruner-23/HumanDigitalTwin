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iversità - Borsa di Ricerca\HDT Framework Repo\HumanDigitalTwin\token_metrics\linda_1\delta_mode_0\"/>
    </mc:Choice>
  </mc:AlternateContent>
  <xr:revisionPtr revIDLastSave="0" documentId="13_ncr:1_{C213DED4-34BB-400A-81AD-C6E700867BDB}" xr6:coauthVersionLast="47" xr6:coauthVersionMax="47" xr10:uidLastSave="{00000000-0000-0000-0000-000000000000}"/>
  <bookViews>
    <workbookView xWindow="-98" yWindow="-98" windowWidth="21795" windowHeight="13695" xr2:uid="{00000000-000D-0000-FFFF-FFFF00000000}"/>
  </bookViews>
  <sheets>
    <sheet name="Queries" sheetId="1" r:id="rId1"/>
    <sheet name="Summary" sheetId="2" r:id="rId2"/>
  </sheets>
  <definedNames>
    <definedName name="_xlnm._FilterDatabase" localSheetId="0" hidden="1">Queries!$A$1:$N$41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a="1"/>
  <c r="B10" i="2" s="1"/>
  <c r="B4" i="2"/>
  <c r="B9" i="2"/>
  <c r="L14" i="1"/>
  <c r="K13" i="1"/>
  <c r="K14" i="1"/>
  <c r="B2" i="2"/>
  <c r="L41" i="1"/>
  <c r="K41" i="1"/>
  <c r="L40" i="1"/>
  <c r="K40" i="1"/>
  <c r="L39" i="1"/>
  <c r="K39" i="1"/>
  <c r="L38" i="1"/>
  <c r="K38" i="1"/>
  <c r="K37" i="1"/>
  <c r="L36" i="1"/>
  <c r="K36" i="1"/>
  <c r="L35" i="1"/>
  <c r="K35" i="1"/>
  <c r="L34" i="1"/>
  <c r="K34" i="1"/>
  <c r="L33" i="1"/>
  <c r="K33" i="1"/>
  <c r="L32" i="1"/>
  <c r="K32" i="1"/>
  <c r="L31" i="1"/>
  <c r="K31" i="1"/>
  <c r="L30" i="1"/>
  <c r="K30" i="1"/>
  <c r="L29" i="1"/>
  <c r="K29" i="1"/>
  <c r="K28" i="1"/>
  <c r="L27" i="1"/>
  <c r="K27" i="1"/>
  <c r="L26" i="1"/>
  <c r="K26" i="1"/>
  <c r="L25" i="1"/>
  <c r="K25" i="1"/>
  <c r="L24" i="1"/>
  <c r="K24" i="1"/>
  <c r="L23" i="1"/>
  <c r="K23" i="1"/>
  <c r="K22" i="1"/>
  <c r="K21" i="1"/>
  <c r="L20" i="1"/>
  <c r="K20" i="1"/>
  <c r="L19" i="1"/>
  <c r="K19" i="1"/>
  <c r="L18" i="1"/>
  <c r="K18" i="1"/>
  <c r="L17" i="1"/>
  <c r="K17" i="1"/>
  <c r="L16" i="1"/>
  <c r="K16" i="1"/>
  <c r="L15" i="1"/>
  <c r="K15" i="1"/>
  <c r="L13" i="1"/>
  <c r="L12" i="1"/>
  <c r="K12" i="1"/>
  <c r="K11" i="1"/>
  <c r="L10" i="1"/>
  <c r="K10" i="1"/>
  <c r="L9" i="1"/>
  <c r="K9" i="1"/>
  <c r="L8" i="1"/>
  <c r="K8" i="1"/>
  <c r="L7" i="1"/>
  <c r="K7" i="1"/>
  <c r="B8" i="2" s="1"/>
  <c r="L6" i="1"/>
  <c r="K6" i="1"/>
  <c r="K5" i="1"/>
  <c r="K4" i="1"/>
  <c r="L3" i="1"/>
  <c r="K3" i="1"/>
  <c r="L2" i="1"/>
  <c r="K2" i="1"/>
  <c r="B3" i="2" l="1"/>
  <c r="B6" i="2"/>
  <c r="B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<sst xmlns="http://schemas.openxmlformats.org/spreadsheetml/2006/main" count="396" uniqueCount="191">
  <si>
    <t>dataset</t>
  </si>
  <si>
    <t>scene_id</t>
  </si>
  <si>
    <t>qid</t>
  </si>
  <si>
    <t>global_id</t>
  </si>
  <si>
    <t>category</t>
  </si>
  <si>
    <t>type</t>
  </si>
  <si>
    <t>question</t>
  </si>
  <si>
    <t>options_json</t>
  </si>
  <si>
    <t>gt_answer</t>
  </si>
  <si>
    <t>model_answer</t>
  </si>
  <si>
    <t>is_correct</t>
  </si>
  <si>
    <t>is_false_positive</t>
  </si>
  <si>
    <t>notes</t>
  </si>
  <si>
    <t>rationale</t>
  </si>
  <si>
    <t>dataset_20260311_144524.json</t>
  </si>
  <si>
    <t>Q1</t>
  </si>
  <si>
    <t>S1_Q1</t>
  </si>
  <si>
    <t>temporal</t>
  </si>
  <si>
    <t>exact</t>
  </si>
  <si>
    <t>What time did the user clock in for their library volunteer shift?</t>
  </si>
  <si>
    <t>14:00</t>
  </si>
  <si>
    <t>The user mentioned 'Okay, I'm clocking in now' in a message sent at 13:57, and the calendar event for the Library Volunteer Shift starts at 14:00.</t>
  </si>
  <si>
    <t>Q2</t>
  </si>
  <si>
    <t>S1_Q2</t>
  </si>
  <si>
    <t>binary</t>
  </si>
  <si>
    <t>Did the user arrive at the library before 14:05?</t>
  </si>
  <si>
    <t>Yes</t>
  </si>
  <si>
    <t>The GPS data shows the user's location changing at 14:05, and a message sent at 13:57 mentions heading to the library, indicating arrival before 14:05.</t>
  </si>
  <si>
    <t>Q3</t>
  </si>
  <si>
    <t>S1_Q3</t>
  </si>
  <si>
    <t>cross_modal</t>
  </si>
  <si>
    <t>multiple_choice</t>
  </si>
  <si>
    <t>What was the user's heart rate when they mentioned being great?</t>
  </si>
  <si>
    <t>{"A": "78 bpm", "B": "85 bpm", "C": "90 bpm", "D": "60 bpm"}</t>
  </si>
  <si>
    <t>A</t>
  </si>
  <si>
    <t>The user mentioned 'I'm doing great' in a message received at 13:47, and the smartwatch data shows a heart rate of 78 bpm at 13:55:00.</t>
  </si>
  <si>
    <t>Q4</t>
  </si>
  <si>
    <t>S1_Q4</t>
  </si>
  <si>
    <t>What was the user doing when they had 250 steps?</t>
  </si>
  <si>
    <t>{"A": "Heading to the library", "B": "Walking to the book club meeting", "C": "During the library volunteer shift", "D": "Engaging in a sedentary activity"}</t>
  </si>
  <si>
    <t>The smartwatch data shows 250 steps at 14:05:00, and the user mentioned heading to the library in a message sent at 13:45.</t>
  </si>
  <si>
    <t>Q5</t>
  </si>
  <si>
    <t>S1_Q5</t>
  </si>
  <si>
    <t>What was the user's activity level when their heart rate was 90 bpm?</t>
  </si>
  <si>
    <t>{"A": "Sedentary", "B": "Lightly active", "C": "Moderately active", "D": "Very active"}</t>
  </si>
  <si>
    <t>C</t>
  </si>
  <si>
    <t>The smartwatch data shows 600 steps and 25 active minutes at 14:20:00, indicating moderate activity when the heart rate was 90 bpm.</t>
  </si>
  <si>
    <t>Q6</t>
  </si>
  <si>
    <t>S1_Q6</t>
  </si>
  <si>
    <t>deduplication</t>
  </si>
  <si>
    <t>How many unique volunteer shifts were mentioned?</t>
  </si>
  <si>
    <t>1</t>
  </si>
  <si>
    <t>The calendar event and the user's message both refer to the same library volunteer shift, resulting in a count of 1 unique event.</t>
  </si>
  <si>
    <t>Q7</t>
  </si>
  <si>
    <t>S1_Q7</t>
  </si>
  <si>
    <t>hallucination</t>
  </si>
  <si>
    <t>Did the user attend a yoga class?</t>
  </si>
  <si>
    <t>No</t>
  </si>
  <si>
    <t>There is no mention of a yoga class in the provided data.</t>
  </si>
  <si>
    <t>Q8</t>
  </si>
  <si>
    <t>S1_Q8</t>
  </si>
  <si>
    <t>Did the user meet a friend at a coffee shop before the library?</t>
  </si>
  <si>
    <t>There is no mention of meeting a friend at a coffee shop before the library in the provided data.</t>
  </si>
  <si>
    <t>S2_Q1</t>
  </si>
  <si>
    <t>What time did the user start their walk?</t>
  </si>
  <si>
    <t>08:00:00</t>
  </si>
  <si>
    <t>The user's smartwatch data shows a change in activity at 08:00:00, and the dialogue mentions 'I'm going for a walk around the block first.' The GPS data also shows a speed of 0.0 at 08:00:00, indicating the user was stationary before starting the walk.</t>
  </si>
  <si>
    <t>S2_Q2</t>
  </si>
  <si>
    <t>Did the user send a message to John before 08:45?</t>
  </si>
  <si>
    <t>The message to John was sent at 08:45, as shown in the messages data. Therefore, the user did not send a message to John before 08:45.</t>
  </si>
  <si>
    <t>S2_Q3</t>
  </si>
  <si>
    <t>What was the user doing when they mentioned needing fresh air?</t>
  </si>
  <si>
    <t>{"A": "Walking (according to steps data)", "B": "Eating oatmeal", "C": "Reading a book", "D": "Sending a message"}</t>
  </si>
  <si>
    <t>The user mentioned needing fresh air at the beginning of the dialogue, and the smartwatch data shows that they started walking at 08:00:00, which aligns with the start of their walk.</t>
  </si>
  <si>
    <t>S2_Q4</t>
  </si>
  <si>
    <t>What was the user's heart rate when they mentioned having oatmeal with fruit?</t>
  </si>
  <si>
    <t>{"A": "65 bpm", "B": "75 bpm", "C": "80 bpm", "D": "Cannot determine"}</t>
  </si>
  <si>
    <t>D</t>
  </si>
  <si>
    <t>The dialogue mentions having oatmeal with fruit, but does not specify the exact time. The smartwatch data shows heart rates of 65, 75, and 80 bpm at different times, but it is not possible to determine which one corresponds to the user having oatmeal.</t>
  </si>
  <si>
    <t>S2_Q5</t>
  </si>
  <si>
    <t>What activity was the user doing when their heart rate was 80 bpm?</t>
  </si>
  <si>
    <t>{"A": "Walking (according to steps data)", "B": "Reading a book", "C": "Eating oatmeal", "D": "Sending a message"}</t>
  </si>
  <si>
    <t>The smartwatch data shows that the user's heart rate was 80 bpm at 08:20:00, and the steps data indicates that the user was walking at this time.</t>
  </si>
  <si>
    <t>S2_Q6</t>
  </si>
  <si>
    <t>How many unique messages did the user send?</t>
  </si>
  <si>
    <t>3</t>
  </si>
  <si>
    <t>The messages data shows that the user sent messages to Emily, Sarah is a received message,  and John, and Library Volunteer Group and  and 3 messages  were sent .</t>
  </si>
  <si>
    <t>S2_Q7</t>
  </si>
  <si>
    <t>Did the user go to the movies?</t>
  </si>
  <si>
    <t>There is no mention of the user going to the movies in the provided data.</t>
  </si>
  <si>
    <t>S2_Q8</t>
  </si>
  <si>
    <t>There is no mention of the user attending a yoga class in the provided data.</t>
  </si>
  <si>
    <t>S3_Q1</t>
  </si>
  <si>
    <t>What time did Susan pick up Linda?</t>
  </si>
  <si>
    <t>18:50</t>
  </si>
  <si>
    <t>According to the WhatsApp messages, Linda sent 'Hi Susan! Sorry I'm not ready yet' at 18:50, indicating Susan arrived at this time.</t>
  </si>
  <si>
    <t>S3_Q2</t>
  </si>
  <si>
    <t>Did Linda finish making tea before 18:20?</t>
  </si>
  <si>
    <t>The dialogue indicates Linda was making tea while talking, and there's no mention of her finishing before 18:20. The smartwatch data at 18:20 shows normal activity, not indicating a significant pause for tea-making.</t>
  </si>
  <si>
    <t>S3_Q3</t>
  </si>
  <si>
    <t>What was Linda doing while talking to Susan according to her dialogue and smartwatch data?</t>
  </si>
  <si>
    <t>{"A": "Making tea and checking notes", "B": "Gardening", "C": "Reading a book", "D": "Watching TV"}</t>
  </si>
  <si>
    <t>Linda's dialogue mentions 'I'm making some tea and checking my notes on the latest book.' The smartwatch data shows increased activity minutes, consistent with her actions.</t>
  </si>
  <si>
    <t>S3_Q4</t>
  </si>
  <si>
    <t>How did Susan's day go according to her message to Linda?</t>
  </si>
  <si>
    <t>{"A": "Busy with gardening", "B": "Busy with work", "C": "Relaxing at home", "D": "Traveling"}</t>
  </si>
  <si>
    <t>Susan's message to Linda states, 'It was fine just busy with some gardening.'</t>
  </si>
  <si>
    <t>S3_Q5</t>
  </si>
  <si>
    <t>What was Linda's heart rate when she was getting ready for the book club meeting?</t>
  </si>
  <si>
    <t>{"A": "80 bpm", "B": "85 bpm", "C": "90 bpm", "D": "95 bpm"}</t>
  </si>
  <si>
    <t>According to the smartwatch data at 18:00:00, Linda's heart rate was 80 bpm while getting ready.</t>
  </si>
  <si>
    <t>S3_Q6</t>
  </si>
  <si>
    <t>How many unique events of gardening are mentioned?</t>
  </si>
  <si>
    <t>Susan mentions gardening twice but it's the same event, so it counts as 1 unique event.</t>
  </si>
  <si>
    <t>S3_Q7</t>
  </si>
  <si>
    <t>Did Linda go to the movies that evening?</t>
  </si>
  <si>
    <t>There is no mention of Linda going to the movies in the provided data.</t>
  </si>
  <si>
    <t>S3_Q8</t>
  </si>
  <si>
    <t>Did Susan go to a concert that evening?</t>
  </si>
  <si>
    <t>There is no mention of Susan going to a concert in the provided data.</t>
  </si>
  <si>
    <t>S4_Q1</t>
  </si>
  <si>
    <t>What time did Linda send the message 'Not much, just getting ready for the weekend. How about you?' to Susan?</t>
  </si>
  <si>
    <t>18:07</t>
  </si>
  <si>
    <t>The message was sent at 18:07 according to the WhatsApp messages data.</t>
  </si>
  <si>
    <t>S4_Q2</t>
  </si>
  <si>
    <t>Did Linda have a lunch date with Susan before 12:00 today?</t>
  </si>
  <si>
    <t>The calendar event for 'Lunch with Susan' is scheduled from 12:00, so it did not happen before 12:00.</t>
  </si>
  <si>
    <t>S4_Q3</t>
  </si>
  <si>
    <t>What was Linda doing while her heart rate was 75 and she took 150 steps?</t>
  </si>
  <si>
    <t>{"A": "Getting ready for her lunch date", "B": "Discussing weekend plans with Susan", "C": "Pruning roses in the garden", "D": "Eating lunch at The Bistro"}</t>
  </si>
  <si>
    <t>Linda mentioned getting ready for her lunch date and the smartwatch data shows a heart rate of 75 and 150 steps at 14:00:00.</t>
  </si>
  <si>
    <t>S4_Q4</t>
  </si>
  <si>
    <t>What did Linda mention she loves hearing about?</t>
  </si>
  <si>
    <t>{"A": "Susan's gardening experiences", "B": "Susan's travels", "C": "Susan's work life", "D": "Susan's favorite books"}</t>
  </si>
  <si>
    <t>B</t>
  </si>
  <si>
    <t>Linda explicitly mentioned 'I love hearing about her travels.' in the dialogue.</t>
  </si>
  <si>
    <t>S4_Q5</t>
  </si>
  <si>
    <t>What activity did Linda consider doing this weekend?</t>
  </si>
  <si>
    <t>{"A": "Trying a new restaurant downtown", "B": "Going to the gym", "C": "Pruning roses in the garden", "D": "Watching a movie"}</t>
  </si>
  <si>
    <t>Linda mentioned 'I'm thinking of getting some gardening done this weekend. The roses need pruning.'</t>
  </si>
  <si>
    <t>S4_Q6</t>
  </si>
  <si>
    <t>How many unique events of sending messages to Susan did Linda do?</t>
  </si>
  <si>
    <t>Linda sent 3 messages to Susan at different timestamps: 18:07, 18:11, and 18:05 is a received message, so not counted.</t>
  </si>
  <si>
    <t>S4_Q7</t>
  </si>
  <si>
    <t>Did Linda go to the movies with Susan yesterday?</t>
  </si>
  <si>
    <t>There is no mention of Linda and Susan going to the movies in the provided data.</t>
  </si>
  <si>
    <t>S4_Q8</t>
  </si>
  <si>
    <t>Did Linda attend a yoga class this morning?</t>
  </si>
  <si>
    <t>There is no mention of Linda attending a yoga class in the provided data.</t>
  </si>
  <si>
    <t>S5_Q1</t>
  </si>
  <si>
    <t>What time did Linda start discussing the gardening competition with John?</t>
  </si>
  <si>
    <t>13:05</t>
  </si>
  <si>
    <t>The first message from John about the garden was received at 13:05.</t>
  </si>
  <si>
    <t>S5_Q2</t>
  </si>
  <si>
    <t>Did Linda discuss the gardening competition with John before 14:00?</t>
  </si>
  <si>
    <t>Messages about the gardening competition were exchanged starting at 13:05, which is before 14:00.</t>
  </si>
  <si>
    <t>S5_Q3</t>
  </si>
  <si>
    <t>What was Linda doing while talking to John according to her dialogue and smartwatch data?</t>
  </si>
  <si>
    <t>{"A": "Running", "B": "Pruning roses", "C": "Cooking", "D": "Watching TV"}</t>
  </si>
  <si>
    <t>Linda mentioned 'Pruning some roses' in her dialogue, and her smartwatch data shows low activity.</t>
  </si>
  <si>
    <t>S5_Q4</t>
  </si>
  <si>
    <t>How did Linda's heart rate change during her conversation with John based on smartwatch data?</t>
  </si>
  <si>
    <t>{"A": "Decreased significantly", "B": "Increased slightly", "C": "Remained stable", "D": "Increased significantly"}</t>
  </si>
  <si>
    <t>Linda's heart rate went from 72 bpm at 14:00 to 80 bpm at 14:10, showing a slight increase.</t>
  </si>
  <si>
    <t>S5_Q5</t>
  </si>
  <si>
    <t>What was Linda's location during her conversation with John?</t>
  </si>
  <si>
    <t>{"A": "Inside her house", "B": "In her garden", "C": "At the local park", "D": "At the gardening competition venue"}</t>
  </si>
  <si>
    <t>Linda mentioned 'I'm in my garden now.' Her GPS data also shows her moving slightly.</t>
  </si>
  <si>
    <t>S5_Q6</t>
  </si>
  <si>
    <t>How many unique gardening competition events are mentioned?</t>
  </si>
  <si>
    <t>The calendar event and dialogue both refer to the same gardening competition advice session with John.</t>
  </si>
  <si>
    <t>S5_Q7</t>
  </si>
  <si>
    <t>Did Linda go to a swimming pool that afternoon?</t>
  </si>
  <si>
    <t>There is no mention of Linda going to a swimming pool in the provided data.</t>
  </si>
  <si>
    <t>S5_Q8</t>
  </si>
  <si>
    <t>Did Linda meet Davide at the gym that afternoon?</t>
  </si>
  <si>
    <t>There is no mention of Davide or Linda going to the gym in the provided data.</t>
  </si>
  <si>
    <t>Metric</t>
  </si>
  <si>
    <t>Value</t>
  </si>
  <si>
    <t>#Queries</t>
  </si>
  <si>
    <t>Overall Accuracy</t>
  </si>
  <si>
    <t>Accuracy Temporal</t>
  </si>
  <si>
    <t>Accuracy Cross-modal</t>
  </si>
  <si>
    <t>Accuracy Deduplication</t>
  </si>
  <si>
    <t>Accuracy Hallucination</t>
  </si>
  <si>
    <t>Unknown</t>
  </si>
  <si>
    <t xml:space="preserve">C </t>
  </si>
  <si>
    <t>Triples (n relationships)</t>
  </si>
  <si>
    <t>FPR</t>
  </si>
  <si>
    <t>Delta mode</t>
  </si>
  <si>
    <t>Accuracy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</si>
</sst>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0" fillId="0" borderId="0" xfId="0" applyAlignment="1">
      <alignment horizontal="center" vertical="center"/>
    </xf>
    <xf numFmtId="20"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41"/>
  <sheetViews>
    <sheetView tabSelected="1" topLeftCell="E1" workbookViewId="0">
      <pane ySplit="1" topLeftCell="A2" activePane="bottomLeft" state="frozen"/>
      <selection pane="bottomLeft" activeCell="L6" sqref="L6"/>
    </sheetView>
  </sheetViews>
  <sheetFormatPr defaultRowHeight="14.25" x14ac:dyDescent="0.45"/>
  <cols>
    <col min="1" max="1" width="30" customWidth="1"/>
    <col min="2" max="3" width="10" customWidth="1"/>
    <col min="4" max="4" width="11" customWidth="1"/>
    <col min="5" max="5" width="15" customWidth="1"/>
    <col min="6" max="6" width="17" customWidth="1"/>
    <col min="7" max="8" width="60" customWidth="1"/>
    <col min="9" max="9" width="11" customWidth="1"/>
    <col min="10" max="10" width="14" customWidth="1"/>
    <col min="11" max="11" width="18.1328125" customWidth="1"/>
    <col min="12" max="12" width="16.1328125" customWidth="1"/>
    <col min="13" max="13" width="10" customWidth="1"/>
    <col min="14" max="14" width="60"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v>1</v>
      </c>
      <c r="C2" t="s">
        <v>15</v>
      </c>
      <c r="D2" t="s">
        <v>16</v>
      </c>
      <c r="E2" t="s">
        <v>17</v>
      </c>
      <c r="F2" t="s">
        <v>18</v>
      </c>
      <c r="G2" t="s">
        <v>19</v>
      </c>
      <c r="I2" t="s">
        <v>20</v>
      </c>
      <c r="J2" t="s">
        <v>185</v>
      </c>
      <c r="K2" s="2">
        <f t="shared" ref="K2:K41" si="0">IF(LOWER(TRIM(J2))=LOWER(TRIM(I2)),1,0)</f>
        <v>0</v>
      </c>
      <c r="L2" s="2">
        <f t="shared" ref="L2:L41" si="1">IF(AND(LOWER(TRIM(E2))="hallucination",LOWER(TRIM(I2))="no",LOWER(TRIM(J2))="yes"),1,0)</f>
        <v>0</v>
      </c>
      <c r="N2" t="s">
        <v>21</v>
      </c>
    </row>
    <row r="3" spans="1:14" x14ac:dyDescent="0.45">
      <c r="A3" t="s">
        <v>14</v>
      </c>
      <c r="B3">
        <v>1</v>
      </c>
      <c r="C3" t="s">
        <v>22</v>
      </c>
      <c r="D3" t="s">
        <v>23</v>
      </c>
      <c r="E3" t="s">
        <v>17</v>
      </c>
      <c r="F3" t="s">
        <v>24</v>
      </c>
      <c r="G3" t="s">
        <v>25</v>
      </c>
      <c r="I3" t="s">
        <v>26</v>
      </c>
      <c r="J3" t="s">
        <v>26</v>
      </c>
      <c r="K3" s="2">
        <f t="shared" si="0"/>
        <v>1</v>
      </c>
      <c r="L3" s="2">
        <f t="shared" si="1"/>
        <v>0</v>
      </c>
      <c r="N3" t="s">
        <v>27</v>
      </c>
    </row>
    <row r="4" spans="1:14" x14ac:dyDescent="0.45">
      <c r="A4" t="s">
        <v>14</v>
      </c>
      <c r="B4">
        <v>1</v>
      </c>
      <c r="C4" t="s">
        <v>28</v>
      </c>
      <c r="D4" t="s">
        <v>29</v>
      </c>
      <c r="E4" t="s">
        <v>30</v>
      </c>
      <c r="F4" t="s">
        <v>31</v>
      </c>
      <c r="G4" t="s">
        <v>32</v>
      </c>
      <c r="H4" t="s">
        <v>33</v>
      </c>
      <c r="I4" t="s">
        <v>34</v>
      </c>
      <c r="J4" t="s">
        <v>134</v>
      </c>
      <c r="K4" s="2">
        <f t="shared" si="0"/>
        <v>0</v>
      </c>
      <c r="L4" s="2">
        <v>1</v>
      </c>
      <c r="N4" t="s">
        <v>35</v>
      </c>
    </row>
    <row r="5" spans="1:14" x14ac:dyDescent="0.45">
      <c r="A5" t="s">
        <v>14</v>
      </c>
      <c r="B5">
        <v>1</v>
      </c>
      <c r="C5" t="s">
        <v>36</v>
      </c>
      <c r="D5" t="s">
        <v>37</v>
      </c>
      <c r="E5" t="s">
        <v>30</v>
      </c>
      <c r="F5" t="s">
        <v>31</v>
      </c>
      <c r="G5" t="s">
        <v>38</v>
      </c>
      <c r="H5" t="s">
        <v>39</v>
      </c>
      <c r="I5" t="s">
        <v>34</v>
      </c>
      <c r="J5" t="s">
        <v>186</v>
      </c>
      <c r="K5" s="2">
        <f t="shared" si="0"/>
        <v>0</v>
      </c>
      <c r="L5" s="2">
        <v>1</v>
      </c>
      <c r="N5" t="s">
        <v>40</v>
      </c>
    </row>
    <row r="6" spans="1:14" x14ac:dyDescent="0.45">
      <c r="A6" t="s">
        <v>14</v>
      </c>
      <c r="B6">
        <v>1</v>
      </c>
      <c r="C6" t="s">
        <v>41</v>
      </c>
      <c r="D6" t="s">
        <v>42</v>
      </c>
      <c r="E6" t="s">
        <v>30</v>
      </c>
      <c r="F6" t="s">
        <v>31</v>
      </c>
      <c r="G6" t="s">
        <v>43</v>
      </c>
      <c r="H6" t="s">
        <v>44</v>
      </c>
      <c r="I6" t="s">
        <v>45</v>
      </c>
      <c r="J6" t="s">
        <v>45</v>
      </c>
      <c r="K6" s="2">
        <f t="shared" si="0"/>
        <v>1</v>
      </c>
      <c r="L6" s="2">
        <f t="shared" si="1"/>
        <v>0</v>
      </c>
      <c r="N6" t="s">
        <v>46</v>
      </c>
    </row>
    <row r="7" spans="1:14" x14ac:dyDescent="0.45">
      <c r="A7" t="s">
        <v>14</v>
      </c>
      <c r="B7">
        <v>1</v>
      </c>
      <c r="C7" t="s">
        <v>47</v>
      </c>
      <c r="D7" t="s">
        <v>48</v>
      </c>
      <c r="E7" t="s">
        <v>49</v>
      </c>
      <c r="F7" t="s">
        <v>18</v>
      </c>
      <c r="G7" t="s">
        <v>50</v>
      </c>
      <c r="I7" t="s">
        <v>51</v>
      </c>
      <c r="J7">
        <v>1</v>
      </c>
      <c r="K7" s="2">
        <f t="shared" si="0"/>
        <v>1</v>
      </c>
      <c r="L7" s="2">
        <f t="shared" si="1"/>
        <v>0</v>
      </c>
      <c r="N7" t="s">
        <v>52</v>
      </c>
    </row>
    <row r="8" spans="1:14" hidden="1" x14ac:dyDescent="0.45">
      <c r="A8" t="s">
        <v>14</v>
      </c>
      <c r="B8">
        <v>1</v>
      </c>
      <c r="C8" t="s">
        <v>53</v>
      </c>
      <c r="D8" t="s">
        <v>54</v>
      </c>
      <c r="E8" t="s">
        <v>55</v>
      </c>
      <c r="F8" t="s">
        <v>24</v>
      </c>
      <c r="G8" t="s">
        <v>56</v>
      </c>
      <c r="I8" t="s">
        <v>57</v>
      </c>
      <c r="J8" t="s">
        <v>57</v>
      </c>
      <c r="K8" s="2">
        <f t="shared" si="0"/>
        <v>1</v>
      </c>
      <c r="L8" s="2">
        <f t="shared" si="1"/>
        <v>0</v>
      </c>
      <c r="N8" t="s">
        <v>58</v>
      </c>
    </row>
    <row r="9" spans="1:14" hidden="1" x14ac:dyDescent="0.45">
      <c r="A9" t="s">
        <v>14</v>
      </c>
      <c r="B9">
        <v>1</v>
      </c>
      <c r="C9" t="s">
        <v>59</v>
      </c>
      <c r="D9" t="s">
        <v>60</v>
      </c>
      <c r="E9" t="s">
        <v>55</v>
      </c>
      <c r="F9" t="s">
        <v>24</v>
      </c>
      <c r="G9" t="s">
        <v>61</v>
      </c>
      <c r="I9" t="s">
        <v>57</v>
      </c>
      <c r="J9" t="s">
        <v>57</v>
      </c>
      <c r="K9" s="2">
        <f t="shared" si="0"/>
        <v>1</v>
      </c>
      <c r="L9" s="2">
        <f t="shared" si="1"/>
        <v>0</v>
      </c>
      <c r="N9" t="s">
        <v>62</v>
      </c>
    </row>
    <row r="10" spans="1:14" x14ac:dyDescent="0.45">
      <c r="A10" t="s">
        <v>14</v>
      </c>
      <c r="B10">
        <v>2</v>
      </c>
      <c r="C10" t="s">
        <v>15</v>
      </c>
      <c r="D10" t="s">
        <v>63</v>
      </c>
      <c r="E10" t="s">
        <v>17</v>
      </c>
      <c r="F10" t="s">
        <v>18</v>
      </c>
      <c r="G10" t="s">
        <v>64</v>
      </c>
      <c r="I10" t="s">
        <v>65</v>
      </c>
      <c r="J10" t="s">
        <v>65</v>
      </c>
      <c r="K10" s="2">
        <f t="shared" si="0"/>
        <v>1</v>
      </c>
      <c r="L10" s="2">
        <f t="shared" si="1"/>
        <v>0</v>
      </c>
      <c r="N10" t="s">
        <v>66</v>
      </c>
    </row>
    <row r="11" spans="1:14" x14ac:dyDescent="0.45">
      <c r="A11" t="s">
        <v>14</v>
      </c>
      <c r="B11">
        <v>2</v>
      </c>
      <c r="C11" t="s">
        <v>22</v>
      </c>
      <c r="D11" t="s">
        <v>67</v>
      </c>
      <c r="E11" t="s">
        <v>17</v>
      </c>
      <c r="F11" t="s">
        <v>24</v>
      </c>
      <c r="G11" t="s">
        <v>68</v>
      </c>
      <c r="I11" t="s">
        <v>57</v>
      </c>
      <c r="J11" t="s">
        <v>26</v>
      </c>
      <c r="K11" s="2">
        <f t="shared" si="0"/>
        <v>0</v>
      </c>
      <c r="L11" s="2">
        <v>1</v>
      </c>
      <c r="N11" t="s">
        <v>69</v>
      </c>
    </row>
    <row r="12" spans="1:14" x14ac:dyDescent="0.45">
      <c r="A12" t="s">
        <v>14</v>
      </c>
      <c r="B12">
        <v>2</v>
      </c>
      <c r="C12" t="s">
        <v>28</v>
      </c>
      <c r="D12" t="s">
        <v>70</v>
      </c>
      <c r="E12" t="s">
        <v>30</v>
      </c>
      <c r="F12" t="s">
        <v>31</v>
      </c>
      <c r="G12" t="s">
        <v>71</v>
      </c>
      <c r="H12" t="s">
        <v>72</v>
      </c>
      <c r="I12" t="s">
        <v>34</v>
      </c>
      <c r="J12" t="s">
        <v>34</v>
      </c>
      <c r="K12" s="2">
        <f t="shared" si="0"/>
        <v>1</v>
      </c>
      <c r="L12" s="2">
        <f t="shared" si="1"/>
        <v>0</v>
      </c>
      <c r="N12" t="s">
        <v>73</v>
      </c>
    </row>
    <row r="13" spans="1:14" x14ac:dyDescent="0.45">
      <c r="A13" t="s">
        <v>14</v>
      </c>
      <c r="B13">
        <v>2</v>
      </c>
      <c r="C13" t="s">
        <v>36</v>
      </c>
      <c r="D13" t="s">
        <v>74</v>
      </c>
      <c r="E13" t="s">
        <v>30</v>
      </c>
      <c r="F13" t="s">
        <v>31</v>
      </c>
      <c r="G13" t="s">
        <v>75</v>
      </c>
      <c r="H13" t="s">
        <v>76</v>
      </c>
      <c r="I13" t="s">
        <v>77</v>
      </c>
      <c r="J13" t="s">
        <v>77</v>
      </c>
      <c r="K13" s="2">
        <f>IF(LOWER(TRIM(J13))=LOWER(TRIM(I13)),1,0)</f>
        <v>1</v>
      </c>
      <c r="L13" s="2">
        <f>IF(AND(LOWER(TRIM(E13))="hallucination",LOWER(TRIM(I13))="no",LOWER(TRIM(J14))="yes"),1,0)</f>
        <v>0</v>
      </c>
      <c r="N13" t="s">
        <v>78</v>
      </c>
    </row>
    <row r="14" spans="1:14" x14ac:dyDescent="0.45">
      <c r="A14" t="s">
        <v>14</v>
      </c>
      <c r="B14">
        <v>2</v>
      </c>
      <c r="C14" t="s">
        <v>41</v>
      </c>
      <c r="D14" t="s">
        <v>79</v>
      </c>
      <c r="E14" t="s">
        <v>30</v>
      </c>
      <c r="F14" t="s">
        <v>31</v>
      </c>
      <c r="G14" t="s">
        <v>80</v>
      </c>
      <c r="H14" t="s">
        <v>81</v>
      </c>
      <c r="I14" t="s">
        <v>34</v>
      </c>
      <c r="J14" t="s">
        <v>34</v>
      </c>
      <c r="K14" s="2">
        <f>IF(LOWER(TRIM(J14))=LOWER(TRIM(I14)),1,0)</f>
        <v>1</v>
      </c>
      <c r="L14" s="2">
        <f>IF(AND(LOWER(TRIM(E14))="hallucination",LOWER(TRIM(I14))="no",LOWER(TRIM(J15))="yes"),1,0)</f>
        <v>0</v>
      </c>
      <c r="N14" t="s">
        <v>82</v>
      </c>
    </row>
    <row r="15" spans="1:14" x14ac:dyDescent="0.45">
      <c r="A15" t="s">
        <v>14</v>
      </c>
      <c r="B15">
        <v>2</v>
      </c>
      <c r="C15" t="s">
        <v>47</v>
      </c>
      <c r="D15" t="s">
        <v>83</v>
      </c>
      <c r="E15" t="s">
        <v>49</v>
      </c>
      <c r="F15" t="s">
        <v>18</v>
      </c>
      <c r="G15" t="s">
        <v>84</v>
      </c>
      <c r="I15" t="s">
        <v>85</v>
      </c>
      <c r="J15" t="s">
        <v>185</v>
      </c>
      <c r="K15" s="2">
        <f t="shared" si="0"/>
        <v>0</v>
      </c>
      <c r="L15" s="2">
        <f t="shared" si="1"/>
        <v>0</v>
      </c>
      <c r="N15" t="s">
        <v>86</v>
      </c>
    </row>
    <row r="16" spans="1:14" hidden="1" x14ac:dyDescent="0.45">
      <c r="A16" t="s">
        <v>14</v>
      </c>
      <c r="B16">
        <v>2</v>
      </c>
      <c r="C16" t="s">
        <v>53</v>
      </c>
      <c r="D16" t="s">
        <v>87</v>
      </c>
      <c r="E16" t="s">
        <v>55</v>
      </c>
      <c r="F16" t="s">
        <v>24</v>
      </c>
      <c r="G16" t="s">
        <v>88</v>
      </c>
      <c r="I16" t="s">
        <v>57</v>
      </c>
      <c r="J16" t="s">
        <v>57</v>
      </c>
      <c r="K16" s="2">
        <f t="shared" si="0"/>
        <v>1</v>
      </c>
      <c r="L16" s="2">
        <f t="shared" si="1"/>
        <v>0</v>
      </c>
      <c r="N16" t="s">
        <v>89</v>
      </c>
    </row>
    <row r="17" spans="1:14" hidden="1" x14ac:dyDescent="0.45">
      <c r="A17" t="s">
        <v>14</v>
      </c>
      <c r="B17">
        <v>2</v>
      </c>
      <c r="C17" t="s">
        <v>59</v>
      </c>
      <c r="D17" t="s">
        <v>90</v>
      </c>
      <c r="E17" t="s">
        <v>55</v>
      </c>
      <c r="F17" t="s">
        <v>24</v>
      </c>
      <c r="G17" t="s">
        <v>56</v>
      </c>
      <c r="I17" t="s">
        <v>57</v>
      </c>
      <c r="J17" t="s">
        <v>57</v>
      </c>
      <c r="K17" s="2">
        <f t="shared" si="0"/>
        <v>1</v>
      </c>
      <c r="L17" s="2">
        <f t="shared" si="1"/>
        <v>0</v>
      </c>
      <c r="N17" t="s">
        <v>91</v>
      </c>
    </row>
    <row r="18" spans="1:14" x14ac:dyDescent="0.45">
      <c r="A18" t="s">
        <v>14</v>
      </c>
      <c r="B18">
        <v>3</v>
      </c>
      <c r="C18" t="s">
        <v>15</v>
      </c>
      <c r="D18" t="s">
        <v>92</v>
      </c>
      <c r="E18" t="s">
        <v>17</v>
      </c>
      <c r="F18" t="s">
        <v>18</v>
      </c>
      <c r="G18" t="s">
        <v>93</v>
      </c>
      <c r="I18" t="s">
        <v>94</v>
      </c>
      <c r="J18" t="s">
        <v>185</v>
      </c>
      <c r="K18" s="2">
        <f t="shared" si="0"/>
        <v>0</v>
      </c>
      <c r="L18" s="2">
        <f t="shared" si="1"/>
        <v>0</v>
      </c>
      <c r="N18" t="s">
        <v>95</v>
      </c>
    </row>
    <row r="19" spans="1:14" x14ac:dyDescent="0.45">
      <c r="A19" t="s">
        <v>14</v>
      </c>
      <c r="B19">
        <v>3</v>
      </c>
      <c r="C19" t="s">
        <v>22</v>
      </c>
      <c r="D19" t="s">
        <v>96</v>
      </c>
      <c r="E19" t="s">
        <v>17</v>
      </c>
      <c r="F19" t="s">
        <v>24</v>
      </c>
      <c r="G19" t="s">
        <v>97</v>
      </c>
      <c r="I19" t="s">
        <v>57</v>
      </c>
      <c r="J19" t="s">
        <v>57</v>
      </c>
      <c r="K19" s="2">
        <f t="shared" si="0"/>
        <v>1</v>
      </c>
      <c r="L19" s="2">
        <f t="shared" si="1"/>
        <v>0</v>
      </c>
      <c r="N19" t="s">
        <v>98</v>
      </c>
    </row>
    <row r="20" spans="1:14" x14ac:dyDescent="0.45">
      <c r="A20" t="s">
        <v>14</v>
      </c>
      <c r="B20">
        <v>3</v>
      </c>
      <c r="C20" t="s">
        <v>28</v>
      </c>
      <c r="D20" t="s">
        <v>99</v>
      </c>
      <c r="E20" t="s">
        <v>30</v>
      </c>
      <c r="F20" t="s">
        <v>31</v>
      </c>
      <c r="G20" t="s">
        <v>100</v>
      </c>
      <c r="H20" t="s">
        <v>101</v>
      </c>
      <c r="I20" t="s">
        <v>34</v>
      </c>
      <c r="J20" t="s">
        <v>34</v>
      </c>
      <c r="K20" s="2">
        <f t="shared" si="0"/>
        <v>1</v>
      </c>
      <c r="L20" s="2">
        <f t="shared" si="1"/>
        <v>0</v>
      </c>
      <c r="N20" t="s">
        <v>102</v>
      </c>
    </row>
    <row r="21" spans="1:14" x14ac:dyDescent="0.45">
      <c r="A21" t="s">
        <v>14</v>
      </c>
      <c r="B21">
        <v>3</v>
      </c>
      <c r="C21" t="s">
        <v>36</v>
      </c>
      <c r="D21" t="s">
        <v>103</v>
      </c>
      <c r="E21" t="s">
        <v>30</v>
      </c>
      <c r="F21" t="s">
        <v>31</v>
      </c>
      <c r="G21" t="s">
        <v>104</v>
      </c>
      <c r="H21" t="s">
        <v>105</v>
      </c>
      <c r="I21" t="s">
        <v>34</v>
      </c>
      <c r="J21" t="s">
        <v>134</v>
      </c>
      <c r="K21" s="2">
        <f t="shared" si="0"/>
        <v>0</v>
      </c>
      <c r="L21" s="2">
        <v>1</v>
      </c>
      <c r="N21" t="s">
        <v>106</v>
      </c>
    </row>
    <row r="22" spans="1:14" x14ac:dyDescent="0.45">
      <c r="A22" t="s">
        <v>14</v>
      </c>
      <c r="B22">
        <v>3</v>
      </c>
      <c r="C22" t="s">
        <v>41</v>
      </c>
      <c r="D22" t="s">
        <v>107</v>
      </c>
      <c r="E22" t="s">
        <v>30</v>
      </c>
      <c r="F22" t="s">
        <v>31</v>
      </c>
      <c r="G22" t="s">
        <v>108</v>
      </c>
      <c r="H22" t="s">
        <v>109</v>
      </c>
      <c r="I22" t="s">
        <v>34</v>
      </c>
      <c r="J22" t="s">
        <v>134</v>
      </c>
      <c r="K22" s="2">
        <f t="shared" si="0"/>
        <v>0</v>
      </c>
      <c r="L22" s="2">
        <v>1</v>
      </c>
      <c r="N22" t="s">
        <v>110</v>
      </c>
    </row>
    <row r="23" spans="1:14" x14ac:dyDescent="0.45">
      <c r="A23" t="s">
        <v>14</v>
      </c>
      <c r="B23">
        <v>3</v>
      </c>
      <c r="C23" t="s">
        <v>47</v>
      </c>
      <c r="D23" t="s">
        <v>111</v>
      </c>
      <c r="E23" t="s">
        <v>49</v>
      </c>
      <c r="F23" t="s">
        <v>18</v>
      </c>
      <c r="G23" t="s">
        <v>112</v>
      </c>
      <c r="I23" t="s">
        <v>51</v>
      </c>
      <c r="J23">
        <v>1</v>
      </c>
      <c r="K23" s="2">
        <f t="shared" si="0"/>
        <v>1</v>
      </c>
      <c r="L23" s="2">
        <f t="shared" si="1"/>
        <v>0</v>
      </c>
      <c r="N23" t="s">
        <v>113</v>
      </c>
    </row>
    <row r="24" spans="1:14" hidden="1" x14ac:dyDescent="0.45">
      <c r="A24" t="s">
        <v>14</v>
      </c>
      <c r="B24">
        <v>3</v>
      </c>
      <c r="C24" t="s">
        <v>53</v>
      </c>
      <c r="D24" t="s">
        <v>114</v>
      </c>
      <c r="E24" t="s">
        <v>55</v>
      </c>
      <c r="F24" t="s">
        <v>24</v>
      </c>
      <c r="G24" t="s">
        <v>115</v>
      </c>
      <c r="I24" t="s">
        <v>57</v>
      </c>
      <c r="J24" t="s">
        <v>57</v>
      </c>
      <c r="K24" s="2">
        <f t="shared" si="0"/>
        <v>1</v>
      </c>
      <c r="L24" s="2">
        <f t="shared" si="1"/>
        <v>0</v>
      </c>
      <c r="N24" t="s">
        <v>116</v>
      </c>
    </row>
    <row r="25" spans="1:14" hidden="1" x14ac:dyDescent="0.45">
      <c r="A25" t="s">
        <v>14</v>
      </c>
      <c r="B25">
        <v>3</v>
      </c>
      <c r="C25" t="s">
        <v>59</v>
      </c>
      <c r="D25" t="s">
        <v>117</v>
      </c>
      <c r="E25" t="s">
        <v>55</v>
      </c>
      <c r="F25" t="s">
        <v>24</v>
      </c>
      <c r="G25" t="s">
        <v>118</v>
      </c>
      <c r="I25" t="s">
        <v>57</v>
      </c>
      <c r="J25" t="s">
        <v>57</v>
      </c>
      <c r="K25" s="2">
        <f t="shared" si="0"/>
        <v>1</v>
      </c>
      <c r="L25" s="2">
        <f t="shared" si="1"/>
        <v>0</v>
      </c>
      <c r="N25" t="s">
        <v>119</v>
      </c>
    </row>
    <row r="26" spans="1:14" x14ac:dyDescent="0.45">
      <c r="A26" t="s">
        <v>14</v>
      </c>
      <c r="B26">
        <v>4</v>
      </c>
      <c r="C26" t="s">
        <v>15</v>
      </c>
      <c r="D26" t="s">
        <v>120</v>
      </c>
      <c r="E26" t="s">
        <v>17</v>
      </c>
      <c r="F26" t="s">
        <v>18</v>
      </c>
      <c r="G26" t="s">
        <v>121</v>
      </c>
      <c r="I26" t="s">
        <v>122</v>
      </c>
      <c r="J26" s="3">
        <v>0.75486111111111109</v>
      </c>
      <c r="K26" s="2">
        <f t="shared" si="0"/>
        <v>0</v>
      </c>
      <c r="L26" s="2">
        <f t="shared" si="1"/>
        <v>0</v>
      </c>
      <c r="N26" t="s">
        <v>123</v>
      </c>
    </row>
    <row r="27" spans="1:14" x14ac:dyDescent="0.45">
      <c r="A27" t="s">
        <v>14</v>
      </c>
      <c r="B27">
        <v>4</v>
      </c>
      <c r="C27" t="s">
        <v>22</v>
      </c>
      <c r="D27" t="s">
        <v>124</v>
      </c>
      <c r="E27" t="s">
        <v>17</v>
      </c>
      <c r="F27" t="s">
        <v>24</v>
      </c>
      <c r="G27" t="s">
        <v>125</v>
      </c>
      <c r="I27" t="s">
        <v>57</v>
      </c>
      <c r="J27" t="s">
        <v>57</v>
      </c>
      <c r="K27" s="2">
        <f t="shared" si="0"/>
        <v>1</v>
      </c>
      <c r="L27" s="2">
        <f t="shared" si="1"/>
        <v>0</v>
      </c>
      <c r="N27" t="s">
        <v>126</v>
      </c>
    </row>
    <row r="28" spans="1:14" x14ac:dyDescent="0.45">
      <c r="A28" t="s">
        <v>14</v>
      </c>
      <c r="B28">
        <v>4</v>
      </c>
      <c r="C28" t="s">
        <v>28</v>
      </c>
      <c r="D28" t="s">
        <v>127</v>
      </c>
      <c r="E28" t="s">
        <v>30</v>
      </c>
      <c r="F28" t="s">
        <v>31</v>
      </c>
      <c r="G28" t="s">
        <v>128</v>
      </c>
      <c r="H28" t="s">
        <v>129</v>
      </c>
      <c r="I28" t="s">
        <v>34</v>
      </c>
      <c r="J28" t="s">
        <v>45</v>
      </c>
      <c r="K28" s="2">
        <f t="shared" si="0"/>
        <v>0</v>
      </c>
      <c r="L28" s="2">
        <v>1</v>
      </c>
      <c r="N28" t="s">
        <v>130</v>
      </c>
    </row>
    <row r="29" spans="1:14" x14ac:dyDescent="0.45">
      <c r="A29" t="s">
        <v>14</v>
      </c>
      <c r="B29">
        <v>4</v>
      </c>
      <c r="C29" t="s">
        <v>36</v>
      </c>
      <c r="D29" t="s">
        <v>131</v>
      </c>
      <c r="E29" t="s">
        <v>30</v>
      </c>
      <c r="F29" t="s">
        <v>31</v>
      </c>
      <c r="G29" t="s">
        <v>132</v>
      </c>
      <c r="H29" t="s">
        <v>133</v>
      </c>
      <c r="I29" t="s">
        <v>134</v>
      </c>
      <c r="J29" t="s">
        <v>134</v>
      </c>
      <c r="K29" s="2">
        <f t="shared" si="0"/>
        <v>1</v>
      </c>
      <c r="L29" s="2">
        <f t="shared" si="1"/>
        <v>0</v>
      </c>
      <c r="N29" t="s">
        <v>135</v>
      </c>
    </row>
    <row r="30" spans="1:14" x14ac:dyDescent="0.45">
      <c r="A30" t="s">
        <v>14</v>
      </c>
      <c r="B30">
        <v>4</v>
      </c>
      <c r="C30" t="s">
        <v>41</v>
      </c>
      <c r="D30" t="s">
        <v>136</v>
      </c>
      <c r="E30" t="s">
        <v>30</v>
      </c>
      <c r="F30" t="s">
        <v>31</v>
      </c>
      <c r="G30" t="s">
        <v>137</v>
      </c>
      <c r="H30" t="s">
        <v>138</v>
      </c>
      <c r="I30" t="s">
        <v>45</v>
      </c>
      <c r="J30" t="s">
        <v>45</v>
      </c>
      <c r="K30" s="2">
        <f t="shared" si="0"/>
        <v>1</v>
      </c>
      <c r="L30" s="2">
        <f t="shared" si="1"/>
        <v>0</v>
      </c>
      <c r="N30" t="s">
        <v>139</v>
      </c>
    </row>
    <row r="31" spans="1:14" x14ac:dyDescent="0.45">
      <c r="A31" t="s">
        <v>14</v>
      </c>
      <c r="B31">
        <v>4</v>
      </c>
      <c r="C31" t="s">
        <v>47</v>
      </c>
      <c r="D31" t="s">
        <v>140</v>
      </c>
      <c r="E31" t="s">
        <v>49</v>
      </c>
      <c r="F31" t="s">
        <v>18</v>
      </c>
      <c r="G31" t="s">
        <v>141</v>
      </c>
      <c r="I31" t="s">
        <v>85</v>
      </c>
      <c r="J31">
        <v>3</v>
      </c>
      <c r="K31" s="2">
        <f t="shared" si="0"/>
        <v>1</v>
      </c>
      <c r="L31" s="2">
        <f t="shared" si="1"/>
        <v>0</v>
      </c>
      <c r="N31" t="s">
        <v>142</v>
      </c>
    </row>
    <row r="32" spans="1:14" hidden="1" x14ac:dyDescent="0.45">
      <c r="A32" t="s">
        <v>14</v>
      </c>
      <c r="B32">
        <v>4</v>
      </c>
      <c r="C32" t="s">
        <v>53</v>
      </c>
      <c r="D32" t="s">
        <v>143</v>
      </c>
      <c r="E32" t="s">
        <v>55</v>
      </c>
      <c r="F32" t="s">
        <v>24</v>
      </c>
      <c r="G32" t="s">
        <v>144</v>
      </c>
      <c r="I32" t="s">
        <v>57</v>
      </c>
      <c r="J32" t="s">
        <v>57</v>
      </c>
      <c r="K32" s="2">
        <f t="shared" si="0"/>
        <v>1</v>
      </c>
      <c r="L32" s="2">
        <f t="shared" si="1"/>
        <v>0</v>
      </c>
      <c r="N32" t="s">
        <v>145</v>
      </c>
    </row>
    <row r="33" spans="1:14" hidden="1" x14ac:dyDescent="0.45">
      <c r="A33" t="s">
        <v>14</v>
      </c>
      <c r="B33">
        <v>4</v>
      </c>
      <c r="C33" t="s">
        <v>59</v>
      </c>
      <c r="D33" t="s">
        <v>146</v>
      </c>
      <c r="E33" t="s">
        <v>55</v>
      </c>
      <c r="F33" t="s">
        <v>24</v>
      </c>
      <c r="G33" t="s">
        <v>147</v>
      </c>
      <c r="I33" t="s">
        <v>57</v>
      </c>
      <c r="J33" t="s">
        <v>57</v>
      </c>
      <c r="K33" s="2">
        <f t="shared" si="0"/>
        <v>1</v>
      </c>
      <c r="L33" s="2">
        <f t="shared" si="1"/>
        <v>0</v>
      </c>
      <c r="N33" t="s">
        <v>148</v>
      </c>
    </row>
    <row r="34" spans="1:14" x14ac:dyDescent="0.45">
      <c r="A34" t="s">
        <v>14</v>
      </c>
      <c r="B34">
        <v>5</v>
      </c>
      <c r="C34" t="s">
        <v>15</v>
      </c>
      <c r="D34" t="s">
        <v>149</v>
      </c>
      <c r="E34" t="s">
        <v>17</v>
      </c>
      <c r="F34" t="s">
        <v>18</v>
      </c>
      <c r="G34" t="s">
        <v>150</v>
      </c>
      <c r="I34" t="s">
        <v>151</v>
      </c>
      <c r="J34" t="s">
        <v>151</v>
      </c>
      <c r="K34" s="2">
        <f t="shared" si="0"/>
        <v>1</v>
      </c>
      <c r="L34" s="2">
        <f t="shared" si="1"/>
        <v>0</v>
      </c>
      <c r="N34" t="s">
        <v>152</v>
      </c>
    </row>
    <row r="35" spans="1:14" x14ac:dyDescent="0.45">
      <c r="A35" t="s">
        <v>14</v>
      </c>
      <c r="B35">
        <v>5</v>
      </c>
      <c r="C35" t="s">
        <v>22</v>
      </c>
      <c r="D35" t="s">
        <v>153</v>
      </c>
      <c r="E35" t="s">
        <v>17</v>
      </c>
      <c r="F35" t="s">
        <v>24</v>
      </c>
      <c r="G35" t="s">
        <v>154</v>
      </c>
      <c r="I35" t="s">
        <v>26</v>
      </c>
      <c r="J35" t="s">
        <v>26</v>
      </c>
      <c r="K35" s="2">
        <f t="shared" si="0"/>
        <v>1</v>
      </c>
      <c r="L35" s="2">
        <f t="shared" si="1"/>
        <v>0</v>
      </c>
      <c r="N35" t="s">
        <v>155</v>
      </c>
    </row>
    <row r="36" spans="1:14" x14ac:dyDescent="0.45">
      <c r="A36" t="s">
        <v>14</v>
      </c>
      <c r="B36">
        <v>5</v>
      </c>
      <c r="C36" t="s">
        <v>28</v>
      </c>
      <c r="D36" t="s">
        <v>156</v>
      </c>
      <c r="E36" t="s">
        <v>30</v>
      </c>
      <c r="F36" t="s">
        <v>31</v>
      </c>
      <c r="G36" t="s">
        <v>157</v>
      </c>
      <c r="H36" t="s">
        <v>158</v>
      </c>
      <c r="I36" t="s">
        <v>134</v>
      </c>
      <c r="J36" t="s">
        <v>134</v>
      </c>
      <c r="K36" s="2">
        <f t="shared" si="0"/>
        <v>1</v>
      </c>
      <c r="L36" s="2">
        <f t="shared" si="1"/>
        <v>0</v>
      </c>
      <c r="N36" t="s">
        <v>159</v>
      </c>
    </row>
    <row r="37" spans="1:14" x14ac:dyDescent="0.45">
      <c r="A37" t="s">
        <v>14</v>
      </c>
      <c r="B37">
        <v>5</v>
      </c>
      <c r="C37" t="s">
        <v>36</v>
      </c>
      <c r="D37" t="s">
        <v>160</v>
      </c>
      <c r="E37" t="s">
        <v>30</v>
      </c>
      <c r="F37" t="s">
        <v>31</v>
      </c>
      <c r="G37" t="s">
        <v>161</v>
      </c>
      <c r="H37" t="s">
        <v>162</v>
      </c>
      <c r="I37" t="s">
        <v>134</v>
      </c>
      <c r="J37" t="s">
        <v>77</v>
      </c>
      <c r="K37" s="2">
        <f t="shared" si="0"/>
        <v>0</v>
      </c>
      <c r="L37" s="2">
        <v>1</v>
      </c>
      <c r="N37" t="s">
        <v>163</v>
      </c>
    </row>
    <row r="38" spans="1:14" x14ac:dyDescent="0.45">
      <c r="A38" t="s">
        <v>14</v>
      </c>
      <c r="B38">
        <v>5</v>
      </c>
      <c r="C38" t="s">
        <v>41</v>
      </c>
      <c r="D38" t="s">
        <v>164</v>
      </c>
      <c r="E38" t="s">
        <v>30</v>
      </c>
      <c r="F38" t="s">
        <v>31</v>
      </c>
      <c r="G38" t="s">
        <v>165</v>
      </c>
      <c r="H38" t="s">
        <v>166</v>
      </c>
      <c r="I38" t="s">
        <v>134</v>
      </c>
      <c r="J38" t="s">
        <v>134</v>
      </c>
      <c r="K38" s="2">
        <f t="shared" si="0"/>
        <v>1</v>
      </c>
      <c r="L38" s="2">
        <f t="shared" si="1"/>
        <v>0</v>
      </c>
      <c r="N38" t="s">
        <v>167</v>
      </c>
    </row>
    <row r="39" spans="1:14" x14ac:dyDescent="0.45">
      <c r="A39" t="s">
        <v>14</v>
      </c>
      <c r="B39">
        <v>5</v>
      </c>
      <c r="C39" t="s">
        <v>47</v>
      </c>
      <c r="D39" t="s">
        <v>168</v>
      </c>
      <c r="E39" t="s">
        <v>49</v>
      </c>
      <c r="F39" t="s">
        <v>18</v>
      </c>
      <c r="G39" t="s">
        <v>169</v>
      </c>
      <c r="I39" t="s">
        <v>51</v>
      </c>
      <c r="J39">
        <v>1</v>
      </c>
      <c r="K39" s="2">
        <f t="shared" si="0"/>
        <v>1</v>
      </c>
      <c r="L39" s="2">
        <f t="shared" si="1"/>
        <v>0</v>
      </c>
      <c r="N39" t="s">
        <v>170</v>
      </c>
    </row>
    <row r="40" spans="1:14" hidden="1" x14ac:dyDescent="0.45">
      <c r="A40" t="s">
        <v>14</v>
      </c>
      <c r="B40">
        <v>5</v>
      </c>
      <c r="C40" t="s">
        <v>53</v>
      </c>
      <c r="D40" t="s">
        <v>171</v>
      </c>
      <c r="E40" t="s">
        <v>55</v>
      </c>
      <c r="F40" t="s">
        <v>24</v>
      </c>
      <c r="G40" t="s">
        <v>172</v>
      </c>
      <c r="I40" t="s">
        <v>57</v>
      </c>
      <c r="J40" t="s">
        <v>57</v>
      </c>
      <c r="K40" s="2">
        <f t="shared" si="0"/>
        <v>1</v>
      </c>
      <c r="L40" s="2">
        <f t="shared" si="1"/>
        <v>0</v>
      </c>
      <c r="N40" t="s">
        <v>173</v>
      </c>
    </row>
    <row r="41" spans="1:14" hidden="1" x14ac:dyDescent="0.45">
      <c r="A41" t="s">
        <v>14</v>
      </c>
      <c r="B41">
        <v>5</v>
      </c>
      <c r="C41" t="s">
        <v>59</v>
      </c>
      <c r="D41" t="s">
        <v>174</v>
      </c>
      <c r="E41" t="s">
        <v>55</v>
      </c>
      <c r="F41" t="s">
        <v>24</v>
      </c>
      <c r="G41" t="s">
        <v>175</v>
      </c>
      <c r="I41" t="s">
        <v>57</v>
      </c>
      <c r="J41" t="s">
        <v>57</v>
      </c>
      <c r="K41" s="2">
        <f t="shared" si="0"/>
        <v>1</v>
      </c>
      <c r="L41" s="2">
        <f t="shared" si="1"/>
        <v>0</v>
      </c>
      <c r="N41" t="s">
        <v>176</v>
      </c>
    </row>
  </sheetData>
  <autoFilter ref="A1:N41" xr:uid="{00000000-0009-0000-0000-000000000000}">
    <filterColumn colId="4">
      <filters>
        <filter val="cross_modal"/>
        <filter val="deduplication"/>
        <filter val="temporal"/>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ySplit="1" topLeftCell="A2" activePane="bottomLeft" state="frozen"/>
      <selection pane="bottomLeft" activeCell="C10" sqref="C10"/>
    </sheetView>
  </sheetViews>
  <sheetFormatPr defaultRowHeight="14.25" x14ac:dyDescent="0.45"/>
  <cols>
    <col min="1" max="1" width="24" customWidth="1"/>
    <col min="2" max="2" width="45" customWidth="1"/>
  </cols>
  <sheetData>
    <row r="1" spans="1:2" x14ac:dyDescent="0.45">
      <c r="A1" s="1" t="s">
        <v>177</v>
      </c>
      <c r="B1" s="1" t="s">
        <v>178</v>
      </c>
    </row>
    <row r="2" spans="1:2" x14ac:dyDescent="0.45">
      <c r="A2" t="s">
        <v>179</v>
      </c>
      <c r="B2">
        <f>ROWS(Queries!A2:A41)</f>
        <v>40</v>
      </c>
    </row>
    <row r="3" spans="1:2" x14ac:dyDescent="0.45">
      <c r="A3" t="s">
        <v>180</v>
      </c>
      <c r="B3" s="4">
        <f>AVERAGE(Queries!K2:K41)</f>
        <v>0.72499999999999998</v>
      </c>
    </row>
    <row r="4" spans="1:2" x14ac:dyDescent="0.45">
      <c r="A4" t="s">
        <v>188</v>
      </c>
      <c r="B4" s="4">
        <f>IF(COUNTA(Queries!A2:A41)=0,0,SUM(Queries!L2:L41)/COUNTA(Queries!A2:A41))</f>
        <v>0.17499999999999999</v>
      </c>
    </row>
    <row r="5" spans="1:2" x14ac:dyDescent="0.45">
      <c r="A5" t="s">
        <v>187</v>
      </c>
      <c r="B5">
        <v>148</v>
      </c>
    </row>
    <row r="6" spans="1:2" x14ac:dyDescent="0.45">
      <c r="A6" t="s">
        <v>181</v>
      </c>
      <c r="B6" s="4">
        <f>IF(COUNTIF(Queries!E2:E41,"temporal")=0,"",AVERAGEIF(Queries!E2:E41,"temporal",Queries!K2:K41))</f>
        <v>0.6</v>
      </c>
    </row>
    <row r="7" spans="1:2" x14ac:dyDescent="0.45">
      <c r="A7" t="s">
        <v>182</v>
      </c>
      <c r="B7" s="4">
        <f>IF(COUNTIF(Queries!E2:E41,"cross_modal")=0,"",AVERAGEIF(Queries!E2:E41,"cross_modal",Queries!K2:K41))</f>
        <v>0.6</v>
      </c>
    </row>
    <row r="8" spans="1:2" x14ac:dyDescent="0.45">
      <c r="A8" t="s">
        <v>183</v>
      </c>
      <c r="B8" s="4">
        <f>IF(COUNTIF(Queries!E2:E41,"deduplication")=0,"",AVERAGEIF(Queries!E2:E41,"deduplication",Queries!K2:K41))</f>
        <v>0.8</v>
      </c>
    </row>
    <row r="9" spans="1:2" x14ac:dyDescent="0.45">
      <c r="A9" t="s">
        <v>184</v>
      </c>
      <c r="B9" s="4">
        <f>IF(COUNTIF(Queries!E2:E41,"hallucination")=0,"",AVERAGEIF(Queries!E2:E41,"hallucination",Queries!K2:K41))</f>
        <v>1</v>
      </c>
    </row>
    <row r="10" spans="1:2" x14ac:dyDescent="0.45">
      <c r="A10" t="s">
        <v>190</v>
      </c>
      <c r="B10" s="4" cm="1">
        <f t="array" ref="B10">IF(SUMPRODUCT(--(Queries!E2:E41&lt;&gt;"hallucination"))=0,"",1-SUMPRODUCT(--(Queries!E2:E41&lt;&gt;"hallucination"),--(((LOWER(TRIM(Queries!J2:J41))="unknown")+(TRIM(Queries!J2:J41)=""))&gt;0))/SUMPRODUCT(--(Queries!E2:E41&lt;&gt;"hallucination")))</f>
        <v>0.9</v>
      </c>
    </row>
    <row r="12" spans="1:2" x14ac:dyDescent="0.45">
      <c r="A12" t="s">
        <v>189</v>
      </c>
      <c r="B1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Queries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Pruner</cp:lastModifiedBy>
  <dcterms:created xsi:type="dcterms:W3CDTF">2026-03-11T13:46:55Z</dcterms:created>
  <dcterms:modified xsi:type="dcterms:W3CDTF">2026-03-14T13:26:25Z</dcterms:modified>
</cp:coreProperties>
</file>